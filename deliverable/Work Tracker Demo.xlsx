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xr:revisionPtr revIDLastSave="0" documentId="8_{5994CA44-F997-4488-93FB-892BF4C12129}" xr6:coauthVersionLast="47" xr6:coauthVersionMax="47" xr10:uidLastSave="{00000000-0000-0000-0000-000000000000}"/>
  <bookViews>
    <workbookView xWindow="-120" yWindow="-120" windowWidth="29040" windowHeight="15720" xr2:uid="{7F43B3E2-DD9D-43CA-8067-DCABF9417DFA}"/>
  </bookViews>
  <sheets>
    <sheet name="Dashboard" sheetId="1" r:id="rId1"/>
    <sheet name="Tasks" sheetId="2" r:id="rId2"/>
    <sheet name="How to use" sheetId="3" r:id="rId3"/>
    <sheet name="Lists" sheetId="4" r:id="rId4"/>
  </sheets>
  <definedNames>
    <definedName name="CondFocus">CondUpcoming*(T_Due&lt;=TODAY()+6)</definedName>
    <definedName name="CondOverdue">InScope*(T_Status&lt;&gt;"Done")*ISNUMBER(T_Due)*(T_Due&lt;TODAY())</definedName>
    <definedName name="CondUpcoming">InScope*(T_Status&lt;&gt;"Done")*ISNUMBER(T_Due)*(T_Due&gt;=TODAY())</definedName>
    <definedName name="InScope">(T_Task&lt;&gt;"")*OwnerOK*StatusOK*YearOK</definedName>
    <definedName name="KpiDone">Dashboard!$D$7</definedName>
    <definedName name="KpiDueThisWeek">Dashboard!$M$7</definedName>
    <definedName name="KpiInProgress">Dashboard!$H$7</definedName>
    <definedName name="KpiOverdue">Dashboard!$J$7</definedName>
    <definedName name="KpiTotal">Dashboard!$B$7</definedName>
    <definedName name="OwnerList">Lists!$A$4:INDEX(Lists!$A$4:$A$34,COUNTIF(Lists!$A$4:$A$34,"?*"))</definedName>
    <definedName name="OwnerOK">((SelOwner="(All)")+(SelOwner="")+(T_Owner=SelOwner))&gt;0</definedName>
    <definedName name="OwnerRank">IF(T_Owner="",-1,COUNTIF(T_Owner,"&lt;"&amp;T_Owner))</definedName>
    <definedName name="RowNo">ROW(T_ID)-MIN(ROW(T_ID))+1</definedName>
    <definedName name="SelOwner">Dashboard!$C$4</definedName>
    <definedName name="SelStatus">Dashboard!$E$4</definedName>
    <definedName name="SelYear">Dashboard!$I$4</definedName>
    <definedName name="SortKey">IF(ISNUMBER(T_Due),T_Due,99999)+RowNo/100000</definedName>
    <definedName name="SortKeyView">IF(T_Status="Done",100000,0)+SortKey</definedName>
    <definedName name="StatusList">Lists!$C$4:$C$8</definedName>
    <definedName name="StatusOK">((SelStatus="(All)")+(SelStatus="")+(T_Status=SelStatus))&gt;0</definedName>
    <definedName name="T_Due">Tasks!$H$2:$H$43</definedName>
    <definedName name="T_ID">Tasks!$A$2:$A$43</definedName>
    <definedName name="T_Owner">Tasks!$C$2:$C$43</definedName>
    <definedName name="T_Status">Tasks!$E$2:$E$43</definedName>
    <definedName name="T_Task">Tasks!$B$2:$B$43</definedName>
    <definedName name="T_Year">Tasks!$J$2:$J$43</definedName>
    <definedName name="YearList">Lists!$E$4:INDEX(Lists!$E$4:$E$14,1+COUNT(Lists!$E$5:$E$14))</definedName>
    <definedName name="YearOK">((SelYear="(All)")+(SelYear="")+(T_Year=SelYear))&gt;0</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4" i="1" l="1"/>
  <c r="B2" i="1"/>
  <c r="H10" i="4"/>
  <c r="I10" i="4" s="1"/>
  <c r="F18" i="1" s="1"/>
  <c r="A5" i="4"/>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B24" i="1" l="1"/>
  <c r="P5" i="4"/>
  <c r="Q5" i="4" s="1"/>
  <c r="P16" i="4"/>
  <c r="Q16" i="4" s="1"/>
  <c r="P17" i="4"/>
  <c r="Q17" i="4" s="1"/>
  <c r="B7" i="1"/>
  <c r="P7" i="4"/>
  <c r="Q7" i="4" s="1"/>
  <c r="P18" i="4"/>
  <c r="Q18" i="4" s="1"/>
  <c r="E5" i="4"/>
  <c r="E6" i="4" s="1"/>
  <c r="D7" i="1"/>
  <c r="P9" i="4"/>
  <c r="Q9" i="4" s="1"/>
  <c r="L4" i="4"/>
  <c r="M4" i="4" s="1"/>
  <c r="M7" i="1"/>
  <c r="B20" i="1" s="1"/>
  <c r="P13" i="4"/>
  <c r="Q13" i="4" s="1"/>
  <c r="L7" i="4"/>
  <c r="M7" i="4" s="1"/>
  <c r="P4" i="4"/>
  <c r="Q4" i="4" s="1"/>
  <c r="P15" i="4"/>
  <c r="Q15" i="4" s="1"/>
  <c r="H6" i="4"/>
  <c r="I6" i="4" s="1"/>
  <c r="H7" i="1"/>
  <c r="P8" i="4"/>
  <c r="Q8" i="4" s="1"/>
  <c r="J7" i="1"/>
  <c r="P10" i="4"/>
  <c r="Q10" i="4" s="1"/>
  <c r="L5" i="4"/>
  <c r="M5" i="4" s="1"/>
  <c r="H17" i="1"/>
  <c r="P12" i="4"/>
  <c r="Q12" i="4" s="1"/>
  <c r="L6" i="4"/>
  <c r="M6" i="4" s="1"/>
  <c r="P11" i="4"/>
  <c r="Q11" i="4" s="1"/>
  <c r="P14" i="4"/>
  <c r="Q14" i="4" s="1"/>
  <c r="H5" i="4"/>
  <c r="I5" i="4" s="1"/>
  <c r="L8" i="4"/>
  <c r="M8" i="4" s="1"/>
  <c r="H4" i="4"/>
  <c r="I4" i="4" s="1"/>
  <c r="P6" i="4"/>
  <c r="Q6" i="4" s="1"/>
  <c r="H9" i="4"/>
  <c r="I9" i="4" s="1"/>
  <c r="H11" i="4"/>
  <c r="I11" i="4" s="1"/>
  <c r="H7" i="4"/>
  <c r="I7" i="4" s="1"/>
  <c r="H8" i="4"/>
  <c r="I8" i="4" s="1"/>
  <c r="N16" i="1"/>
  <c r="D18" i="1"/>
  <c r="E18" i="1"/>
  <c r="B18" i="1"/>
  <c r="C18" i="1"/>
  <c r="A6" i="4"/>
  <c r="D24" i="1" l="1"/>
  <c r="C24" i="1" s="1"/>
  <c r="E24" i="1"/>
  <c r="F24" i="1"/>
  <c r="K22" i="1"/>
  <c r="L22" i="1"/>
  <c r="M22" i="1"/>
  <c r="O22" i="1"/>
  <c r="J22" i="1"/>
  <c r="I22" i="1"/>
  <c r="H22" i="1"/>
  <c r="N22" i="1" s="1"/>
  <c r="H33" i="1"/>
  <c r="N33" i="1" s="1"/>
  <c r="I33" i="1"/>
  <c r="J33" i="1"/>
  <c r="K33" i="1"/>
  <c r="L33" i="1"/>
  <c r="M33" i="1"/>
  <c r="O33" i="1"/>
  <c r="H34" i="1"/>
  <c r="I34" i="1"/>
  <c r="J34" i="1"/>
  <c r="K34" i="1"/>
  <c r="L34" i="1"/>
  <c r="M34" i="1"/>
  <c r="N34" i="1"/>
  <c r="O34" i="1"/>
  <c r="H36" i="1"/>
  <c r="J19" i="1"/>
  <c r="J24" i="1"/>
  <c r="O24" i="1"/>
  <c r="L24" i="1"/>
  <c r="H24" i="1"/>
  <c r="N24" i="1" s="1"/>
  <c r="M24" i="1"/>
  <c r="K24" i="1"/>
  <c r="I24" i="1"/>
  <c r="L35" i="1"/>
  <c r="M35" i="1"/>
  <c r="O35" i="1"/>
  <c r="H35" i="1"/>
  <c r="N35" i="1" s="1"/>
  <c r="I35" i="1"/>
  <c r="J35" i="1"/>
  <c r="K35" i="1"/>
  <c r="H26" i="1"/>
  <c r="K26" i="1"/>
  <c r="N26" i="1"/>
  <c r="O26" i="1"/>
  <c r="M26" i="1"/>
  <c r="J26" i="1"/>
  <c r="I26" i="1"/>
  <c r="L26" i="1"/>
  <c r="H30" i="1"/>
  <c r="I30" i="1"/>
  <c r="J30" i="1"/>
  <c r="K30" i="1"/>
  <c r="L30" i="1"/>
  <c r="M30" i="1"/>
  <c r="N30" i="1"/>
  <c r="O30" i="1"/>
  <c r="J21" i="1"/>
  <c r="I21" i="1"/>
  <c r="M21" i="1"/>
  <c r="H21" i="1"/>
  <c r="N21" i="1" s="1"/>
  <c r="L21" i="1"/>
  <c r="O21" i="1"/>
  <c r="K21" i="1"/>
  <c r="H32" i="1"/>
  <c r="I32" i="1"/>
  <c r="J32" i="1"/>
  <c r="K32" i="1"/>
  <c r="L32" i="1"/>
  <c r="M32" i="1"/>
  <c r="N32" i="1"/>
  <c r="O32" i="1"/>
  <c r="M25" i="1"/>
  <c r="J25" i="1"/>
  <c r="H25" i="1"/>
  <c r="N25" i="1" s="1"/>
  <c r="I25" i="1"/>
  <c r="L25" i="1"/>
  <c r="K25" i="1"/>
  <c r="O25" i="1"/>
  <c r="K27" i="1"/>
  <c r="I27" i="1"/>
  <c r="M27" i="1"/>
  <c r="O27" i="1"/>
  <c r="H27" i="1"/>
  <c r="L27" i="1"/>
  <c r="J27" i="1"/>
  <c r="N27" i="1"/>
  <c r="H29" i="1"/>
  <c r="K29" i="1"/>
  <c r="L29" i="1"/>
  <c r="I29" i="1"/>
  <c r="J29" i="1"/>
  <c r="M29" i="1"/>
  <c r="N29" i="1"/>
  <c r="O29" i="1"/>
  <c r="K28" i="1"/>
  <c r="J28" i="1"/>
  <c r="O28" i="1"/>
  <c r="H28" i="1"/>
  <c r="N28" i="1" s="1"/>
  <c r="L28" i="1"/>
  <c r="I28" i="1"/>
  <c r="M28" i="1"/>
  <c r="H31" i="1"/>
  <c r="I31" i="1"/>
  <c r="J31" i="1"/>
  <c r="K31" i="1"/>
  <c r="L31" i="1"/>
  <c r="M31" i="1"/>
  <c r="N31" i="1"/>
  <c r="O31" i="1"/>
  <c r="H23" i="1"/>
  <c r="N23" i="1" s="1"/>
  <c r="I23" i="1"/>
  <c r="J23" i="1"/>
  <c r="K23" i="1"/>
  <c r="L23" i="1"/>
  <c r="M23" i="1"/>
  <c r="O23" i="1"/>
  <c r="I12" i="1"/>
  <c r="H12" i="1"/>
  <c r="K12" i="1"/>
  <c r="M12" i="1"/>
  <c r="J12" i="1"/>
  <c r="L12" i="1"/>
  <c r="O12" i="1"/>
  <c r="N12" i="1"/>
  <c r="O15" i="1"/>
  <c r="K15" i="1"/>
  <c r="H15" i="1"/>
  <c r="I15" i="1"/>
  <c r="N15" i="1"/>
  <c r="L15" i="1"/>
  <c r="M15" i="1"/>
  <c r="J15" i="1"/>
  <c r="F14" i="1"/>
  <c r="D14" i="1"/>
  <c r="C14" i="1"/>
  <c r="E14" i="1"/>
  <c r="B14" i="1"/>
  <c r="K13" i="1"/>
  <c r="H13" i="1"/>
  <c r="I13" i="1"/>
  <c r="N13" i="1"/>
  <c r="O13" i="1"/>
  <c r="L13" i="1"/>
  <c r="M13" i="1"/>
  <c r="J13" i="1"/>
  <c r="O14" i="1"/>
  <c r="N14" i="1"/>
  <c r="I14" i="1"/>
  <c r="H14" i="1"/>
  <c r="K14" i="1"/>
  <c r="M14" i="1"/>
  <c r="J14" i="1"/>
  <c r="L14" i="1"/>
  <c r="F13" i="1"/>
  <c r="E13" i="1"/>
  <c r="C13" i="1"/>
  <c r="B13" i="1"/>
  <c r="D13" i="1"/>
  <c r="L16" i="1"/>
  <c r="M16" i="1"/>
  <c r="J16" i="1"/>
  <c r="K16" i="1"/>
  <c r="H16" i="1"/>
  <c r="I16" i="1"/>
  <c r="O16" i="1"/>
  <c r="F12" i="1"/>
  <c r="E12" i="1"/>
  <c r="B12" i="1"/>
  <c r="D12" i="1"/>
  <c r="C12" i="1"/>
  <c r="F17" i="1"/>
  <c r="C17" i="1"/>
  <c r="D17" i="1"/>
  <c r="E17" i="1"/>
  <c r="B17" i="1"/>
  <c r="F19" i="1"/>
  <c r="E19" i="1"/>
  <c r="C19" i="1"/>
  <c r="D19" i="1"/>
  <c r="B19" i="1"/>
  <c r="F15" i="1"/>
  <c r="D15" i="1"/>
  <c r="B15" i="1"/>
  <c r="E15" i="1"/>
  <c r="C15" i="1"/>
  <c r="F16" i="1"/>
  <c r="D16" i="1"/>
  <c r="C16" i="1"/>
  <c r="E16" i="1"/>
  <c r="B16" i="1"/>
  <c r="B25" i="1"/>
  <c r="E7" i="4"/>
  <c r="A7" i="4"/>
  <c r="D25" i="1" l="1"/>
  <c r="C25" i="1" s="1"/>
  <c r="E25" i="1"/>
  <c r="F25" i="1"/>
  <c r="B26" i="1"/>
  <c r="E8" i="4"/>
  <c r="A8" i="4"/>
  <c r="D26" i="1" l="1"/>
  <c r="C26" i="1" s="1"/>
  <c r="E26" i="1"/>
  <c r="F26" i="1"/>
  <c r="B27" i="1"/>
  <c r="E9" i="4"/>
  <c r="E10" i="4" s="1"/>
  <c r="E11" i="4" s="1"/>
  <c r="E12" i="4" s="1"/>
  <c r="E13" i="4" s="1"/>
  <c r="E14" i="4" s="1"/>
  <c r="A9" i="4"/>
  <c r="B28" i="1" s="1"/>
  <c r="D27" i="1" l="1"/>
  <c r="C27" i="1" s="1"/>
  <c r="E27" i="1"/>
  <c r="F27" i="1"/>
  <c r="D28" i="1"/>
  <c r="C28" i="1" s="1"/>
  <c r="E28" i="1"/>
  <c r="F28" i="1"/>
  <c r="A10" i="4"/>
  <c r="B29" i="1" s="1"/>
  <c r="D29" i="1" l="1"/>
  <c r="C29" i="1" s="1"/>
  <c r="E29" i="1"/>
  <c r="F29" i="1"/>
  <c r="A11" i="4"/>
  <c r="A12" i="4" l="1"/>
  <c r="B30" i="1"/>
  <c r="B31" i="1" l="1"/>
  <c r="A13" i="4"/>
  <c r="A14" i="4" s="1"/>
  <c r="A15" i="4" s="1"/>
  <c r="A16" i="4" s="1"/>
  <c r="A17" i="4" s="1"/>
  <c r="A18" i="4" s="1"/>
  <c r="A19" i="4" s="1"/>
  <c r="A20" i="4" s="1"/>
  <c r="A21" i="4" s="1"/>
  <c r="A22" i="4" s="1"/>
  <c r="A23" i="4" s="1"/>
  <c r="A24" i="4" s="1"/>
  <c r="A25" i="4" s="1"/>
  <c r="A26" i="4" s="1"/>
  <c r="A27" i="4" s="1"/>
  <c r="A28" i="4" s="1"/>
  <c r="A29" i="4" s="1"/>
  <c r="A30" i="4" s="1"/>
  <c r="A31" i="4" s="1"/>
  <c r="A32" i="4" s="1"/>
  <c r="A33" i="4" s="1"/>
  <c r="A34" i="4" s="1"/>
  <c r="B32" i="1" s="1"/>
  <c r="C30" i="1"/>
  <c r="D30" i="1"/>
  <c r="E30" i="1"/>
  <c r="F30" i="1"/>
  <c r="D31" i="1" l="1"/>
  <c r="C31" i="1" s="1"/>
  <c r="E31" i="1"/>
  <c r="F31" i="1"/>
</calcChain>
</file>

<file path=xl/sharedStrings.xml><?xml version="1.0" encoding="utf-8"?>
<sst xmlns="http://schemas.openxmlformats.org/spreadsheetml/2006/main" count="353" uniqueCount="167">
  <si>
    <t>ID</t>
  </si>
  <si>
    <t>Task</t>
  </si>
  <si>
    <t>Owner</t>
  </si>
  <si>
    <t>Department</t>
  </si>
  <si>
    <t>Status</t>
  </si>
  <si>
    <t>Priority</t>
  </si>
  <si>
    <t>Start</t>
  </si>
  <si>
    <t>Due</t>
  </si>
  <si>
    <t>% Complete</t>
  </si>
  <si>
    <t>Year</t>
  </si>
  <si>
    <t>Notes</t>
  </si>
  <si>
    <t>T-001</t>
  </si>
  <si>
    <t>Renew office lease</t>
  </si>
  <si>
    <t>Taylor R.</t>
  </si>
  <si>
    <t>Operations</t>
  </si>
  <si>
    <t>Done</t>
  </si>
  <si>
    <t>High</t>
  </si>
  <si>
    <t>Signed for 3 years</t>
  </si>
  <si>
    <t>T-002</t>
  </si>
  <si>
    <t>Q3 month-end checklist</t>
  </si>
  <si>
    <t>Jordan M.</t>
  </si>
  <si>
    <t>Finance</t>
  </si>
  <si>
    <t>T-003</t>
  </si>
  <si>
    <t>Update price list</t>
  </si>
  <si>
    <t>Casey L.</t>
  </si>
  <si>
    <t>Sales</t>
  </si>
  <si>
    <t>Medium</t>
  </si>
  <si>
    <t>Sent to all reps</t>
  </si>
  <si>
    <t>T-004</t>
  </si>
  <si>
    <t>Replace front-desk PC</t>
  </si>
  <si>
    <t>Riley P.</t>
  </si>
  <si>
    <t>IT</t>
  </si>
  <si>
    <t>Low</t>
  </si>
  <si>
    <t>T-005</t>
  </si>
  <si>
    <t>New-hire paperwork review</t>
  </si>
  <si>
    <t>Morgan T.</t>
  </si>
  <si>
    <t>HR</t>
  </si>
  <si>
    <t>T-006</t>
  </si>
  <si>
    <t>Vendor contract renewal</t>
  </si>
  <si>
    <t>In progress</t>
  </si>
  <si>
    <t>Waiting on vendor redline</t>
  </si>
  <si>
    <t>T-007</t>
  </si>
  <si>
    <t>Customer survey mailing</t>
  </si>
  <si>
    <t>T-008</t>
  </si>
  <si>
    <t>Backup system test</t>
  </si>
  <si>
    <t>Blocked</t>
  </si>
  <si>
    <t>Needs a new drive</t>
  </si>
  <si>
    <t>T-009</t>
  </si>
  <si>
    <t>Expense policy update</t>
  </si>
  <si>
    <t>T-010</t>
  </si>
  <si>
    <t>Safety training sign-off</t>
  </si>
  <si>
    <t>Not started</t>
  </si>
  <si>
    <t>T-011</t>
  </si>
  <si>
    <t>Forklift inspection</t>
  </si>
  <si>
    <t>Avery K.</t>
  </si>
  <si>
    <t>T-012</t>
  </si>
  <si>
    <t>Trade show booth order</t>
  </si>
  <si>
    <t>Supplier out of stock</t>
  </si>
  <si>
    <t>T-013</t>
  </si>
  <si>
    <t>Payroll calendar 2027</t>
  </si>
  <si>
    <t>T-014</t>
  </si>
  <si>
    <t>Warehouse rack labels</t>
  </si>
  <si>
    <t>T-015</t>
  </si>
  <si>
    <t>Quote follow-up calls</t>
  </si>
  <si>
    <t>T-016</t>
  </si>
  <si>
    <t>Laptop refresh order</t>
  </si>
  <si>
    <t>T-017</t>
  </si>
  <si>
    <t>Benefits enrollment memo</t>
  </si>
  <si>
    <t>T-018</t>
  </si>
  <si>
    <t>Fleet insurance renewal</t>
  </si>
  <si>
    <t>T-019</t>
  </si>
  <si>
    <t>Monthly sales report</t>
  </si>
  <si>
    <t>Finished early</t>
  </si>
  <si>
    <t>T-020</t>
  </si>
  <si>
    <t>Budget draft for 2027</t>
  </si>
  <si>
    <t>T-021</t>
  </si>
  <si>
    <t>Website contact form fix</t>
  </si>
  <si>
    <t>T-022</t>
  </si>
  <si>
    <t>Holiday schedule posting</t>
  </si>
  <si>
    <t>T-023</t>
  </si>
  <si>
    <t>Dock door repair</t>
  </si>
  <si>
    <t>Part on order</t>
  </si>
  <si>
    <t>T-024</t>
  </si>
  <si>
    <t>Key account review</t>
  </si>
  <si>
    <t>T-025</t>
  </si>
  <si>
    <t>Supplier scorecards</t>
  </si>
  <si>
    <t>T-026</t>
  </si>
  <si>
    <t>Password policy rollout</t>
  </si>
  <si>
    <t>T-027</t>
  </si>
  <si>
    <t>Collections call list</t>
  </si>
  <si>
    <t>T-028</t>
  </si>
  <si>
    <t>Performance review forms</t>
  </si>
  <si>
    <t>T-029</t>
  </si>
  <si>
    <t>Year-end inventory count</t>
  </si>
  <si>
    <t>T-030</t>
  </si>
  <si>
    <t>Holiday promo flyer</t>
  </si>
  <si>
    <t>T-031</t>
  </si>
  <si>
    <t>Phone system upgrade</t>
  </si>
  <si>
    <t>Carrier quote pending</t>
  </si>
  <si>
    <t>T-032</t>
  </si>
  <si>
    <t>Year-end document binder</t>
  </si>
  <si>
    <t>T-033</t>
  </si>
  <si>
    <t>First-aid kit restock</t>
  </si>
  <si>
    <t>T-034</t>
  </si>
  <si>
    <t>Delivery route review</t>
  </si>
  <si>
    <t>T-035</t>
  </si>
  <si>
    <t>CRM cleanup</t>
  </si>
  <si>
    <t>T-036</t>
  </si>
  <si>
    <t>Office wifi upgrade</t>
  </si>
  <si>
    <t>T-037</t>
  </si>
  <si>
    <t>Quarterly vendor review</t>
  </si>
  <si>
    <t>T-038</t>
  </si>
  <si>
    <t>New-year filing setup</t>
  </si>
  <si>
    <t>T-039</t>
  </si>
  <si>
    <t>Server room cleanup</t>
  </si>
  <si>
    <t>T-040</t>
  </si>
  <si>
    <t>Annual safety plan</t>
  </si>
  <si>
    <t>T-041</t>
  </si>
  <si>
    <t>Spring hiring plan</t>
  </si>
  <si>
    <t>T-042</t>
  </si>
  <si>
    <t>Customer appreciation day</t>
  </si>
  <si>
    <t>Venue not confirmed</t>
  </si>
  <si>
    <t>Helper lists for the Dashboard. These are formulas: please don't type on this sheet.</t>
  </si>
  <si>
    <t>Dropdown choices on the left; on the right, which table row each dashboard list line shows.</t>
  </si>
  <si>
    <t>Owner choices</t>
  </si>
  <si>
    <t>(All)</t>
  </si>
  <si>
    <t>Status choices</t>
  </si>
  <si>
    <t>Year choices</t>
  </si>
  <si>
    <t>#</t>
  </si>
  <si>
    <t>This Week's Focus: key</t>
  </si>
  <si>
    <t>Table row</t>
  </si>
  <si>
    <t>Next due: key</t>
  </si>
  <si>
    <t>Tasks in view: key</t>
  </si>
  <si>
    <t>Work Tracker Dashboard</t>
  </si>
  <si>
    <t>TOTAL TASKS</t>
  </si>
  <si>
    <t>DONE</t>
  </si>
  <si>
    <t>IN PROGRESS</t>
  </si>
  <si>
    <t>OVERDUE</t>
  </si>
  <si>
    <t>DUE THIS WEEK</t>
  </si>
  <si>
    <t>This Week's Focus</t>
  </si>
  <si>
    <t>Not done, due in the next 7 days</t>
  </si>
  <si>
    <t>% done</t>
  </si>
  <si>
    <t>Next 5 due dates</t>
  </si>
  <si>
    <t>Not done, soonest first</t>
  </si>
  <si>
    <t>Days left</t>
  </si>
  <si>
    <t>Tasks in view</t>
  </si>
  <si>
    <t>Flag</t>
  </si>
  <si>
    <t>Progress by owner</t>
  </si>
  <si>
    <t>Follows the filters</t>
  </si>
  <si>
    <t>Average % done</t>
  </si>
  <si>
    <t>Tasks</t>
  </si>
  <si>
    <t>Overdue</t>
  </si>
  <si>
    <t>How to use this tracker</t>
  </si>
  <si>
    <t>Demo built with made-up sample data. Every task and name here is invented.</t>
  </si>
  <si>
    <t>Add or change tasks</t>
  </si>
  <si>
    <t>Go to the Tasks sheet and type in the first empty row under the table. The table grows by itself.</t>
  </si>
  <si>
    <t>Status and Priority are dropdowns. % Complete takes 0% to 100%. Year fills itself in from the Due date.</t>
  </si>
  <si>
    <t>To remove a task, right-click its row in the table and choose Delete &gt; Table Rows.</t>
  </si>
  <si>
    <t>Read the dashboard</t>
  </si>
  <si>
    <t>Pick an Owner, a Status or a Year in the yellow cells at the top. Everything on the page follows. Choose (All) to clear.</t>
  </si>
  <si>
    <t>Overdue = not Done and the Due date is before today. Due this week = not Done and due today or in the next 6 days.</t>
  </si>
  <si>
    <t>This Week's Focus shows up to 8 tasks, Next due dates 5, Tasks in view 15. A line under each list says how many more are not shown.</t>
  </si>
  <si>
    <t>In the Tasks sheet, an overdue Due date turns red and one due this week turns amber, by themselves, every day.</t>
  </si>
  <si>
    <t>Good to know</t>
  </si>
  <si>
    <t>Nothing here needs macros. The file works in Excel 2010 and later, including Microsoft 365.</t>
  </si>
  <si>
    <t>The Lists sheet holds helper formulas for the dashboard. Leave it as it is.</t>
  </si>
  <si>
    <t>The sample dates were set on Oct 2, 2026, so some tasks were overdue and some due that week. The dashboard always compares with today's date, so the counts move as days 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</si>
</sst>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d\,\ yyyy"/>
    <numFmt numFmtId="165" formatCode="0.00000"/>
    <numFmt numFmtId="166" formatCode="mmm\ d"/>
    <numFmt numFmtId="167" formatCode="[=0]&quot;today&quot;;[=1]&quot;1 day&quot;;0&quot; days&quot;"/>
  </numFmts>
  <fonts count="17" x14ac:knownFonts="1">
    <font>
      <sz val="11"/>
      <color theme="1"/>
      <name val="Calibri"/>
      <family val="2"/>
      <scheme val="minor"/>
    </font>
    <font>
      <b/>
      <sz val="11"/>
      <color theme="1"/>
      <name val="Calibri"/>
      <family val="2"/>
      <scheme val="minor"/>
    </font>
    <font>
      <sz val="11"/>
      <color rgb="FF6B7785"/>
      <name val="Calibri"/>
      <family val="2"/>
      <scheme val="minor"/>
    </font>
    <font>
      <b/>
      <sz val="20"/>
      <color rgb="FF1F3A5F"/>
      <name val="Calibri"/>
      <family val="2"/>
      <scheme val="minor"/>
    </font>
    <font>
      <i/>
      <sz val="11"/>
      <color rgb="FF6B7785"/>
      <name val="Calibri"/>
      <family val="2"/>
      <scheme val="minor"/>
    </font>
    <font>
      <b/>
      <sz val="9"/>
      <color rgb="FF1F3A5F"/>
      <name val="Calibri"/>
      <family val="2"/>
      <scheme val="minor"/>
    </font>
    <font>
      <b/>
      <sz val="30"/>
      <color rgb="FF1F3A5F"/>
      <name val="Calibri"/>
      <family val="2"/>
      <scheme val="minor"/>
    </font>
    <font>
      <b/>
      <sz val="9"/>
      <color rgb="FF1E7B3A"/>
      <name val="Calibri"/>
      <family val="2"/>
      <scheme val="minor"/>
    </font>
    <font>
      <b/>
      <sz val="30"/>
      <color rgb="FF1E7B3A"/>
      <name val="Calibri"/>
      <family val="2"/>
      <scheme val="minor"/>
    </font>
    <font>
      <b/>
      <sz val="9"/>
      <color rgb="FF1B5FAE"/>
      <name val="Calibri"/>
      <family val="2"/>
      <scheme val="minor"/>
    </font>
    <font>
      <b/>
      <sz val="30"/>
      <color rgb="FF1B5FAE"/>
      <name val="Calibri"/>
      <family val="2"/>
      <scheme val="minor"/>
    </font>
    <font>
      <b/>
      <sz val="9"/>
      <color rgb="FFB42323"/>
      <name val="Calibri"/>
      <family val="2"/>
      <scheme val="minor"/>
    </font>
    <font>
      <b/>
      <sz val="30"/>
      <color rgb="FFB42323"/>
      <name val="Calibri"/>
      <family val="2"/>
      <scheme val="minor"/>
    </font>
    <font>
      <b/>
      <sz val="9"/>
      <color rgb="FF9A6200"/>
      <name val="Calibri"/>
      <family val="2"/>
      <scheme val="minor"/>
    </font>
    <font>
      <b/>
      <sz val="30"/>
      <color rgb="FF9A6200"/>
      <name val="Calibri"/>
      <family val="2"/>
      <scheme val="minor"/>
    </font>
    <font>
      <b/>
      <sz val="13"/>
      <color rgb="FF1F3A5F"/>
      <name val="Calibri"/>
      <family val="2"/>
      <scheme val="minor"/>
    </font>
    <font>
      <b/>
      <sz val="18"/>
      <color rgb="FF1F3A5F"/>
      <name val="Calibri"/>
      <family val="2"/>
      <scheme val="minor"/>
    </font>
  </fonts>
  <fills count="11">
    <fill>
      <patternFill patternType="none"/>
    </fill>
    <fill>
      <patternFill patternType="gray125"/>
    </fill>
    <fill>
      <patternFill patternType="solid">
        <fgColor rgb="FFEEF1F5"/>
        <bgColor indexed="64"/>
      </patternFill>
    </fill>
    <fill>
      <patternFill patternType="solid">
        <fgColor rgb="FFFFF9E0"/>
        <bgColor indexed="64"/>
      </patternFill>
    </fill>
    <fill>
      <patternFill patternType="solid">
        <fgColor rgb="FFE8EDF4"/>
        <bgColor indexed="64"/>
      </patternFill>
    </fill>
    <fill>
      <patternFill patternType="solid">
        <fgColor rgb="FFE3F4E8"/>
        <bgColor indexed="64"/>
      </patternFill>
    </fill>
    <fill>
      <patternFill patternType="solid">
        <fgColor rgb="FFE3EEFB"/>
        <bgColor indexed="64"/>
      </patternFill>
    </fill>
    <fill>
      <patternFill patternType="solid">
        <fgColor rgb="FFFCE4E4"/>
        <bgColor indexed="64"/>
      </patternFill>
    </fill>
    <fill>
      <patternFill patternType="solid">
        <fgColor rgb="FFFFF1D6"/>
        <bgColor indexed="64"/>
      </patternFill>
    </fill>
    <fill>
      <patternFill patternType="solid">
        <fgColor rgb="FFFFF8E6"/>
        <bgColor indexed="64"/>
      </patternFill>
    </fill>
    <fill>
      <patternFill patternType="solid">
        <fgColor rgb="FFFBE9B7"/>
        <bgColor indexed="64"/>
      </patternFill>
    </fill>
  </fills>
  <borders count="17">
    <border>
      <left/>
      <right/>
      <top/>
      <bottom/>
      <diagonal/>
    </border>
    <border>
      <left style="thin">
        <color rgb="FFC9A227"/>
      </left>
      <right/>
      <top style="thin">
        <color rgb="FFC9A227"/>
      </top>
      <bottom style="thin">
        <color rgb="FFC9A227"/>
      </bottom>
      <diagonal/>
    </border>
    <border>
      <left style="thin">
        <color rgb="FFC9A227"/>
      </left>
      <right style="thin">
        <color rgb="FFC9A227"/>
      </right>
      <top style="thin">
        <color rgb="FFC9A227"/>
      </top>
      <bottom style="thin">
        <color rgb="FFC9A227"/>
      </bottom>
      <diagonal/>
    </border>
    <border>
      <left/>
      <right style="thin">
        <color rgb="FFC9A227"/>
      </right>
      <top style="thin">
        <color rgb="FFC9A227"/>
      </top>
      <bottom style="thin">
        <color rgb="FFC9A227"/>
      </bottom>
      <diagonal/>
    </border>
    <border>
      <left/>
      <right style="thick">
        <color rgb="FFFFFFFF"/>
      </right>
      <top/>
      <bottom/>
      <diagonal/>
    </border>
    <border>
      <left style="thick">
        <color rgb="FFFFFFFF"/>
      </left>
      <right/>
      <top/>
      <bottom/>
      <diagonal/>
    </border>
    <border>
      <left/>
      <right/>
      <top/>
      <bottom style="thin">
        <color rgb="FFAEB7C2"/>
      </bottom>
      <diagonal/>
    </border>
    <border>
      <left style="medium">
        <color rgb="FFE0A526"/>
      </left>
      <right/>
      <top/>
      <bottom/>
      <diagonal/>
    </border>
    <border>
      <left style="medium">
        <color rgb="FFE0A526"/>
      </left>
      <right/>
      <top/>
      <bottom style="thin">
        <color rgb="FFAEB7C2"/>
      </bottom>
      <diagonal/>
    </border>
    <border>
      <left style="medium">
        <color rgb="FFE0A526"/>
      </left>
      <right/>
      <top style="medium">
        <color rgb="FFE0A526"/>
      </top>
      <bottom/>
      <diagonal/>
    </border>
    <border>
      <left/>
      <right/>
      <top style="medium">
        <color rgb="FFE0A526"/>
      </top>
      <bottom/>
      <diagonal/>
    </border>
    <border>
      <left style="medium">
        <color rgb="FFE0A526"/>
      </left>
      <right/>
      <top/>
      <bottom style="medium">
        <color rgb="FFE0A526"/>
      </bottom>
      <diagonal/>
    </border>
    <border>
      <left/>
      <right/>
      <top/>
      <bottom style="medium">
        <color rgb="FFE0A526"/>
      </bottom>
      <diagonal/>
    </border>
    <border>
      <left/>
      <right style="medium">
        <color rgb="FFE0A526"/>
      </right>
      <top style="medium">
        <color rgb="FFE0A526"/>
      </top>
      <bottom/>
      <diagonal/>
    </border>
    <border>
      <left/>
      <right style="medium">
        <color rgb="FFE0A526"/>
      </right>
      <top/>
      <bottom style="thin">
        <color rgb="FFAEB7C2"/>
      </bottom>
      <diagonal/>
    </border>
    <border>
      <left/>
      <right style="medium">
        <color rgb="FFE0A526"/>
      </right>
      <top/>
      <bottom/>
      <diagonal/>
    </border>
    <border>
      <left/>
      <right style="medium">
        <color rgb="FFE0A526"/>
      </right>
      <top/>
      <bottom style="medium">
        <color rgb="FFE0A526"/>
      </bottom>
      <diagonal/>
    </border>
  </borders>
  <cellStyleXfs count="1">
    <xf numFmtId="0" fontId="0" fillId="0" borderId="0"/>
  </cellStyleXfs>
  <cellXfs count="61">
    <xf numFmtId="0" fontId="0" fillId="0" borderId="0" xfId="0"/>
    <xf numFmtId="164" fontId="0" fillId="0" borderId="0" xfId="0" applyNumberFormat="1"/>
    <xf numFmtId="9" fontId="0" fillId="0" borderId="0" xfId="0" applyNumberFormat="1"/>
    <xf numFmtId="0" fontId="0" fillId="0" borderId="0" xfId="0" applyAlignment="1">
      <alignment horizontal="left"/>
    </xf>
    <xf numFmtId="0" fontId="0" fillId="0" borderId="0" xfId="0" applyAlignment="1">
      <alignment horizontal="center"/>
    </xf>
    <xf numFmtId="0" fontId="1" fillId="0" borderId="0" xfId="0" applyFont="1"/>
    <xf numFmtId="0" fontId="2" fillId="0" borderId="0" xfId="0" applyFont="1"/>
    <xf numFmtId="0" fontId="1" fillId="2" borderId="0" xfId="0" applyFont="1" applyFill="1"/>
    <xf numFmtId="165" fontId="0" fillId="0" borderId="0" xfId="0" applyNumberFormat="1"/>
    <xf numFmtId="0" fontId="0" fillId="0" borderId="0" xfId="0" applyAlignment="1">
      <alignment vertical="center"/>
    </xf>
    <xf numFmtId="0" fontId="3" fillId="0" borderId="0" xfId="0" applyFont="1" applyAlignment="1">
      <alignment vertical="center"/>
    </xf>
    <xf numFmtId="0" fontId="2" fillId="0" borderId="0" xfId="0" applyFont="1" applyAlignment="1">
      <alignment vertical="center"/>
    </xf>
    <xf numFmtId="0" fontId="1" fillId="0" borderId="0" xfId="0" applyFont="1" applyAlignment="1">
      <alignment horizontal="right" vertical="center"/>
    </xf>
    <xf numFmtId="0" fontId="1" fillId="3" borderId="2" xfId="0" applyFont="1" applyFill="1" applyBorder="1" applyAlignment="1">
      <alignment horizontal="left" vertical="center"/>
    </xf>
    <xf numFmtId="0" fontId="1" fillId="3" borderId="1" xfId="0" applyFont="1" applyFill="1" applyBorder="1" applyAlignment="1">
      <alignment horizontal="left" vertical="center"/>
    </xf>
    <xf numFmtId="0" fontId="1" fillId="3" borderId="3" xfId="0" applyFont="1" applyFill="1" applyBorder="1" applyAlignment="1">
      <alignment horizontal="left" vertical="center"/>
    </xf>
    <xf numFmtId="0" fontId="4" fillId="0" borderId="0" xfId="0" applyFont="1" applyAlignment="1">
      <alignment vertical="center"/>
    </xf>
    <xf numFmtId="0" fontId="5" fillId="4" borderId="0" xfId="0" applyFont="1" applyFill="1" applyBorder="1" applyAlignment="1">
      <alignment horizontal="left" vertical="center" indent="1"/>
    </xf>
    <xf numFmtId="0" fontId="6" fillId="4" borderId="0" xfId="0" applyFont="1" applyFill="1" applyBorder="1" applyAlignment="1">
      <alignment horizontal="left" vertical="center" indent="1"/>
    </xf>
    <xf numFmtId="0" fontId="7" fillId="5" borderId="5" xfId="0" applyFont="1" applyFill="1" applyBorder="1" applyAlignment="1">
      <alignment horizontal="left" vertical="center" indent="1"/>
    </xf>
    <xf numFmtId="0" fontId="7" fillId="5" borderId="0" xfId="0" applyFont="1" applyFill="1" applyBorder="1" applyAlignment="1">
      <alignment horizontal="left" vertical="center" indent="1"/>
    </xf>
    <xf numFmtId="0" fontId="8" fillId="5" borderId="5" xfId="0" applyFont="1" applyFill="1" applyBorder="1" applyAlignment="1">
      <alignment horizontal="left" vertical="center" indent="1"/>
    </xf>
    <xf numFmtId="0" fontId="8" fillId="5" borderId="0" xfId="0" applyFont="1" applyFill="1" applyBorder="1" applyAlignment="1">
      <alignment horizontal="left" vertical="center" indent="1"/>
    </xf>
    <xf numFmtId="0" fontId="9" fillId="6" borderId="5" xfId="0" applyFont="1" applyFill="1" applyBorder="1" applyAlignment="1">
      <alignment horizontal="left" vertical="center" indent="1"/>
    </xf>
    <xf numFmtId="0" fontId="10" fillId="6" borderId="5" xfId="0" applyFont="1" applyFill="1" applyBorder="1" applyAlignment="1">
      <alignment horizontal="left" vertical="center" indent="1"/>
    </xf>
    <xf numFmtId="0" fontId="11" fillId="7" borderId="5" xfId="0" applyFont="1" applyFill="1" applyBorder="1" applyAlignment="1">
      <alignment horizontal="left" vertical="center" indent="1"/>
    </xf>
    <xf numFmtId="0" fontId="9" fillId="6" borderId="0" xfId="0" applyFont="1" applyFill="1" applyBorder="1" applyAlignment="1">
      <alignment horizontal="left" vertical="center" indent="1"/>
    </xf>
    <xf numFmtId="0" fontId="11" fillId="7" borderId="0" xfId="0" applyFont="1" applyFill="1" applyBorder="1" applyAlignment="1">
      <alignment horizontal="left" vertical="center" indent="1"/>
    </xf>
    <xf numFmtId="0" fontId="12" fillId="7" borderId="5" xfId="0" applyFont="1" applyFill="1" applyBorder="1" applyAlignment="1">
      <alignment horizontal="left" vertical="center" indent="1"/>
    </xf>
    <xf numFmtId="0" fontId="10" fillId="6" borderId="0" xfId="0" applyFont="1" applyFill="1" applyBorder="1" applyAlignment="1">
      <alignment horizontal="left" vertical="center" indent="1"/>
    </xf>
    <xf numFmtId="0" fontId="12" fillId="7" borderId="0" xfId="0" applyFont="1" applyFill="1" applyBorder="1" applyAlignment="1">
      <alignment horizontal="left" vertical="center" indent="1"/>
    </xf>
    <xf numFmtId="0" fontId="13" fillId="8" borderId="5" xfId="0" applyFont="1" applyFill="1" applyBorder="1" applyAlignment="1">
      <alignment horizontal="left" vertical="center" indent="1"/>
    </xf>
    <xf numFmtId="0" fontId="13" fillId="8" borderId="0" xfId="0" applyFont="1" applyFill="1" applyBorder="1" applyAlignment="1">
      <alignment horizontal="left" vertical="center" indent="1"/>
    </xf>
    <xf numFmtId="0" fontId="13" fillId="8" borderId="4" xfId="0" applyFont="1" applyFill="1" applyBorder="1" applyAlignment="1">
      <alignment horizontal="left" vertical="center" indent="1"/>
    </xf>
    <xf numFmtId="0" fontId="14" fillId="8" borderId="5" xfId="0" applyFont="1" applyFill="1" applyBorder="1" applyAlignment="1">
      <alignment horizontal="left" vertical="center" indent="1"/>
    </xf>
    <xf numFmtId="0" fontId="14" fillId="8" borderId="0" xfId="0" applyFont="1" applyFill="1" applyBorder="1" applyAlignment="1">
      <alignment horizontal="left" vertical="center" indent="1"/>
    </xf>
    <xf numFmtId="0" fontId="14" fillId="8" borderId="4" xfId="0" applyFont="1" applyFill="1" applyBorder="1" applyAlignment="1">
      <alignment horizontal="left" vertical="center" indent="1"/>
    </xf>
    <xf numFmtId="0" fontId="15" fillId="0" borderId="0" xfId="0" applyFont="1" applyAlignment="1">
      <alignment vertical="center"/>
    </xf>
    <xf numFmtId="0" fontId="1" fillId="2" borderId="6" xfId="0" applyFont="1" applyFill="1" applyBorder="1" applyAlignment="1">
      <alignment vertical="center"/>
    </xf>
    <xf numFmtId="0" fontId="0" fillId="9" borderId="0" xfId="0" applyFill="1" applyBorder="1" applyAlignment="1">
      <alignment vertical="center"/>
    </xf>
    <xf numFmtId="0" fontId="15" fillId="9" borderId="9" xfId="0" applyFont="1" applyFill="1" applyBorder="1" applyAlignment="1">
      <alignment vertical="center"/>
    </xf>
    <xf numFmtId="0" fontId="0" fillId="9" borderId="10" xfId="0" applyFill="1" applyBorder="1" applyAlignment="1">
      <alignment vertical="center"/>
    </xf>
    <xf numFmtId="0" fontId="4" fillId="9" borderId="10" xfId="0" applyFont="1" applyFill="1" applyBorder="1" applyAlignment="1">
      <alignment vertical="center"/>
    </xf>
    <xf numFmtId="0" fontId="4" fillId="9" borderId="11" xfId="0" applyFont="1" applyFill="1" applyBorder="1" applyAlignment="1">
      <alignment vertical="center"/>
    </xf>
    <xf numFmtId="0" fontId="0" fillId="9" borderId="12" xfId="0" applyFill="1" applyBorder="1" applyAlignment="1">
      <alignment vertical="center"/>
    </xf>
    <xf numFmtId="0" fontId="0" fillId="9" borderId="13" xfId="0" applyFill="1" applyBorder="1" applyAlignment="1">
      <alignment vertical="center"/>
    </xf>
    <xf numFmtId="0" fontId="0" fillId="9" borderId="16" xfId="0" applyFill="1" applyBorder="1" applyAlignment="1">
      <alignment vertical="center"/>
    </xf>
    <xf numFmtId="0" fontId="1" fillId="10" borderId="8" xfId="0" applyFont="1" applyFill="1" applyBorder="1" applyAlignment="1">
      <alignment vertical="center"/>
    </xf>
    <xf numFmtId="0" fontId="1" fillId="10" borderId="6" xfId="0" applyFont="1" applyFill="1" applyBorder="1" applyAlignment="1">
      <alignment vertical="center"/>
    </xf>
    <xf numFmtId="0" fontId="1" fillId="10" borderId="14" xfId="0" applyFont="1" applyFill="1" applyBorder="1" applyAlignment="1">
      <alignment vertical="center"/>
    </xf>
    <xf numFmtId="166" fontId="0" fillId="9" borderId="7" xfId="0" applyNumberFormat="1" applyFill="1" applyBorder="1" applyAlignment="1">
      <alignment horizontal="left" vertical="center"/>
    </xf>
    <xf numFmtId="166" fontId="0" fillId="0" borderId="0" xfId="0" applyNumberFormat="1" applyAlignment="1">
      <alignment horizontal="left" vertical="center"/>
    </xf>
    <xf numFmtId="9" fontId="0" fillId="9" borderId="15" xfId="0" applyNumberFormat="1" applyFill="1" applyBorder="1" applyAlignment="1">
      <alignment vertical="center"/>
    </xf>
    <xf numFmtId="9" fontId="0" fillId="0" borderId="0" xfId="0" applyNumberFormat="1" applyAlignment="1">
      <alignment vertical="center"/>
    </xf>
    <xf numFmtId="167" fontId="0" fillId="0" borderId="0" xfId="0" applyNumberFormat="1" applyAlignment="1">
      <alignment horizontal="left" vertical="center"/>
    </xf>
    <xf numFmtId="0" fontId="0" fillId="0" borderId="0" xfId="0" applyAlignment="1">
      <alignment horizontal="center" vertical="center"/>
    </xf>
    <xf numFmtId="0" fontId="1" fillId="2" borderId="6" xfId="0" applyFont="1" applyFill="1" applyBorder="1" applyAlignment="1">
      <alignment horizontal="center" vertical="center"/>
    </xf>
    <xf numFmtId="0" fontId="4" fillId="0" borderId="0" xfId="0" applyFont="1"/>
    <xf numFmtId="0" fontId="16" fillId="0" borderId="0" xfId="0" applyFont="1" applyAlignment="1">
      <alignment horizontal="left"/>
    </xf>
    <xf numFmtId="0" fontId="15" fillId="0" borderId="0" xfId="0" applyFont="1" applyAlignment="1">
      <alignment horizontal="left"/>
    </xf>
    <xf numFmtId="0" fontId="2" fillId="0" borderId="0" xfId="0" applyFont="1" applyAlignment="1">
      <alignment horizontal="left"/>
    </xf>
  </cellXfs>
  <cellStyles count="1">
    <cellStyle name="Normal" xfId="0" builtinId="0"/>
  </cellStyles>
  <dxfs count="18">
    <dxf>
      <font>
        <b/>
        <i val="0"/>
        <color rgb="FFB42323"/>
      </font>
    </dxf>
    <dxf>
      <font>
        <b val="0"/>
        <i val="0"/>
        <color rgb="FF1E7B3A"/>
      </font>
    </dxf>
    <dxf>
      <font>
        <b/>
        <i val="0"/>
        <color rgb="FFC25E00"/>
      </font>
    </dxf>
    <dxf>
      <font>
        <b val="0"/>
        <i val="0"/>
        <color rgb="FF1E7B3A"/>
      </font>
    </dxf>
    <dxf>
      <font>
        <b/>
        <i val="0"/>
        <color rgb="FFC25E00"/>
      </font>
    </dxf>
    <dxf>
      <font>
        <b/>
        <i val="0"/>
        <color rgb="FFB42323"/>
      </font>
    </dxf>
    <dxf>
      <font>
        <b/>
        <i val="0"/>
        <color rgb="FFB42323"/>
      </font>
    </dxf>
    <dxf>
      <font>
        <b/>
        <i val="0"/>
        <color rgb="FFB42323"/>
      </font>
    </dxf>
    <dxf>
      <font>
        <b val="0"/>
        <i val="0"/>
        <color rgb="FF6B4500"/>
      </font>
      <fill>
        <patternFill>
          <bgColor rgb="FFFFE2A8"/>
        </patternFill>
      </fill>
    </dxf>
    <dxf>
      <font>
        <b/>
        <i val="0"/>
        <color rgb="FFFFFFFF"/>
      </font>
      <fill>
        <patternFill>
          <bgColor rgb="FFD64545"/>
        </patternFill>
      </fill>
    </dxf>
    <dxf>
      <font>
        <b/>
        <i val="0"/>
        <color rgb="FFB42323"/>
      </font>
    </dxf>
    <dxf>
      <font>
        <color rgb="FF6B4500"/>
      </font>
      <fill>
        <patternFill>
          <bgColor rgb="FFFFE2A8"/>
        </patternFill>
      </fill>
    </dxf>
    <dxf>
      <font>
        <b/>
        <i val="0"/>
        <color rgb="FFFFFFFF"/>
      </font>
      <fill>
        <patternFill>
          <bgColor rgb="FFD64545"/>
        </patternFill>
      </fill>
    </dxf>
    <dxf>
      <alignment horizontal="center" vertical="bottom" textRotation="0" wrapText="0" indent="0" justifyLastLine="0" shrinkToFit="0" readingOrder="0"/>
    </dxf>
    <dxf>
      <numFmt numFmtId="13" formatCode="0%"/>
    </dxf>
    <dxf>
      <alignment horizontal="left" vertical="bottom" textRotation="0" wrapText="0" indent="0" justifyLastLine="0" shrinkToFit="0" readingOrder="0"/>
    </dxf>
    <dxf>
      <numFmt numFmtId="164" formatCode="mmm\ d\,\ yyyy"/>
    </dxf>
    <dxf>
      <numFmt numFmtId="164" formatCode="mmm\ d\,\ 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68ACCC5-A9D8-4DA0-B6EC-F680D3A3DB37}" name="Tasks" displayName="Tasks" ref="A1:K43" totalsRowShown="0">
  <autoFilter ref="A1:K43" xr:uid="{368ACCC5-A9D8-4DA0-B6EC-F680D3A3DB37}"/>
  <tableColumns count="11">
    <tableColumn id="1" xr3:uid="{561FBF78-D731-42CA-AB5A-C14D43412355}" name="ID" dataDxfId="15"/>
    <tableColumn id="2" xr3:uid="{7EAA95EE-5C23-4513-9336-2E484F019F7F}" name="Task"/>
    <tableColumn id="3" xr3:uid="{7AD66D9E-8D1E-45D7-989A-45143370D946}" name="Owner"/>
    <tableColumn id="4" xr3:uid="{12C72A98-692B-4554-A5AE-C93ABD5294E8}" name="Department"/>
    <tableColumn id="5" xr3:uid="{6E101C4C-E1CE-43A5-94A6-C12D55EE62B4}" name="Status"/>
    <tableColumn id="6" xr3:uid="{4A028575-F7F3-4D82-ABC9-F4C607784D8A}" name="Priority"/>
    <tableColumn id="7" xr3:uid="{6B43A1F1-9FEE-4D56-906A-672EB1CB513C}" name="Start" dataDxfId="17"/>
    <tableColumn id="8" xr3:uid="{9367033F-2563-4E51-821F-6AFC1F4705AC}" name="Due" dataDxfId="16"/>
    <tableColumn id="9" xr3:uid="{D3AF97BC-1639-43D3-9890-6D7CDDE72D03}" name="% Complete" dataDxfId="14"/>
    <tableColumn id="10" xr3:uid="{C441E3B6-A4F4-4D94-A341-D6AA666ED9A8}" name="Year" dataDxfId="13">
      <calculatedColumnFormula>IF(Tasks[[#This Row],[Due]]="","",YEAR(Tasks[[#This Row],[Due]]))</calculatedColumnFormula>
    </tableColumn>
    <tableColumn id="11" xr3:uid="{75BD1D9A-1359-431B-8208-10A70BE6617D}"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00830D-1D1C-4C69-A4C2-1494CA8F5CE6}">
  <sheetPr>
    <tabColor rgb="FF1F3A5F"/>
  </sheetPr>
  <dimension ref="A1:P40"/>
  <sheetViews>
    <sheetView showGridLines="0" tabSelected="1" workbookViewId="0">
      <selection activeCell="C4" sqref="C4"/>
    </sheetView>
  </sheetViews>
  <sheetFormatPr defaultRowHeight="15" x14ac:dyDescent="0.25"/>
  <cols>
    <col min="1" max="1" width="2.7109375" customWidth="1"/>
    <col min="2" max="2" width="11.7109375" customWidth="1"/>
    <col min="3" max="3" width="27.7109375" customWidth="1"/>
    <col min="4" max="4" width="13.7109375" customWidth="1"/>
    <col min="5" max="6" width="11.7109375" customWidth="1"/>
    <col min="7" max="7" width="2.7109375" customWidth="1"/>
    <col min="8" max="8" width="11.7109375" customWidth="1"/>
    <col min="9" max="9" width="27.7109375" customWidth="1"/>
    <col min="10" max="11" width="13.7109375" customWidth="1"/>
    <col min="12" max="12" width="11.7109375" customWidth="1"/>
    <col min="13" max="14" width="12.7109375" customWidth="1"/>
    <col min="15" max="15" width="13.7109375" customWidth="1"/>
    <col min="16" max="16" width="2.7109375" customWidth="1"/>
  </cols>
  <sheetData>
    <row r="1" spans="1:16" ht="32.1" customHeight="1" x14ac:dyDescent="0.25">
      <c r="A1" s="9"/>
      <c r="B1" s="10" t="s">
        <v>133</v>
      </c>
      <c r="C1" s="9"/>
      <c r="D1" s="9"/>
      <c r="E1" s="9"/>
      <c r="F1" s="9"/>
      <c r="G1" s="9"/>
      <c r="H1" s="9"/>
      <c r="I1" s="9"/>
      <c r="J1" s="9"/>
      <c r="K1" s="9"/>
      <c r="L1" s="9"/>
      <c r="M1" s="9"/>
      <c r="N1" s="9"/>
      <c r="O1" s="9"/>
      <c r="P1" s="9"/>
    </row>
    <row r="2" spans="1:16" x14ac:dyDescent="0.25">
      <c r="A2" s="9"/>
      <c r="B2" s="11" t="str">
        <f ca="1">"As of "&amp;TEXT(TODAY(),"ddd, mmm d, yyyy")&amp;"   |   Pick an owner, status or year: the whole page follows."</f>
        <v>As of Fri, Oct 2, 2026   |   Pick an owner, status or year: the whole page follows.</v>
      </c>
      <c r="C2" s="9"/>
      <c r="D2" s="9"/>
      <c r="E2" s="9"/>
      <c r="F2" s="9"/>
      <c r="G2" s="9"/>
      <c r="H2" s="9"/>
      <c r="I2" s="9"/>
      <c r="J2" s="9"/>
      <c r="K2" s="9"/>
      <c r="L2" s="9"/>
      <c r="M2" s="9"/>
      <c r="N2" s="9"/>
      <c r="O2" s="9"/>
      <c r="P2" s="9"/>
    </row>
    <row r="3" spans="1:16" ht="8.1" customHeight="1" x14ac:dyDescent="0.25">
      <c r="A3" s="9"/>
      <c r="B3" s="9"/>
      <c r="C3" s="9"/>
      <c r="D3" s="9"/>
      <c r="E3" s="9"/>
      <c r="F3" s="9"/>
      <c r="G3" s="9"/>
      <c r="H3" s="9"/>
      <c r="I3" s="9"/>
      <c r="J3" s="9"/>
      <c r="K3" s="9"/>
      <c r="L3" s="9"/>
      <c r="M3" s="9"/>
      <c r="N3" s="9"/>
      <c r="O3" s="9"/>
      <c r="P3" s="9"/>
    </row>
    <row r="4" spans="1:16" ht="21.95" customHeight="1" x14ac:dyDescent="0.25">
      <c r="A4" s="9"/>
      <c r="B4" s="12" t="s">
        <v>2</v>
      </c>
      <c r="C4" s="13" t="s">
        <v>125</v>
      </c>
      <c r="D4" s="12" t="s">
        <v>4</v>
      </c>
      <c r="E4" s="14" t="s">
        <v>125</v>
      </c>
      <c r="F4" s="15"/>
      <c r="G4" s="9"/>
      <c r="H4" s="12" t="s">
        <v>9</v>
      </c>
      <c r="I4" s="13" t="s">
        <v>125</v>
      </c>
      <c r="J4" s="16" t="str">
        <f>IF(AND(OR(SelOwner="(All)",SelOwner=""),OR(SelStatus="(All)",SelStatus=""),OR(SelYear="(All)",SelYear="")),"Showing all tasks","Filtered view: choose (All) to clear")</f>
        <v>Showing all tasks</v>
      </c>
      <c r="K4" s="9"/>
      <c r="L4" s="9"/>
      <c r="M4" s="9"/>
      <c r="N4" s="9"/>
      <c r="O4" s="9"/>
      <c r="P4" s="9"/>
    </row>
    <row r="5" spans="1:16" ht="8.1" customHeight="1" x14ac:dyDescent="0.25">
      <c r="A5" s="9"/>
      <c r="B5" s="9"/>
      <c r="C5" s="9"/>
      <c r="D5" s="9"/>
      <c r="E5" s="9"/>
      <c r="F5" s="9"/>
      <c r="G5" s="9"/>
      <c r="H5" s="9"/>
      <c r="I5" s="9"/>
      <c r="J5" s="9"/>
      <c r="K5" s="9"/>
      <c r="L5" s="9"/>
      <c r="M5" s="9"/>
      <c r="N5" s="9"/>
      <c r="O5" s="9"/>
      <c r="P5" s="9"/>
    </row>
    <row r="6" spans="1:16" ht="20.100000000000001" customHeight="1" x14ac:dyDescent="0.25">
      <c r="A6" s="9"/>
      <c r="B6" s="17" t="s">
        <v>134</v>
      </c>
      <c r="C6" s="17"/>
      <c r="D6" s="19" t="s">
        <v>135</v>
      </c>
      <c r="E6" s="20"/>
      <c r="F6" s="20"/>
      <c r="G6" s="20"/>
      <c r="H6" s="23" t="s">
        <v>136</v>
      </c>
      <c r="I6" s="26"/>
      <c r="J6" s="25" t="s">
        <v>137</v>
      </c>
      <c r="K6" s="27"/>
      <c r="L6" s="27"/>
      <c r="M6" s="31" t="s">
        <v>138</v>
      </c>
      <c r="N6" s="32"/>
      <c r="O6" s="33"/>
      <c r="P6" s="9"/>
    </row>
    <row r="7" spans="1:16" ht="24" customHeight="1" x14ac:dyDescent="0.25">
      <c r="A7" s="9"/>
      <c r="B7" s="18">
        <f>SUMPRODUCT(InScope)</f>
        <v>42</v>
      </c>
      <c r="C7" s="18"/>
      <c r="D7" s="21">
        <f>SUMPRODUCT(InScope*(Tasks[Status]="Done"))</f>
        <v>9</v>
      </c>
      <c r="E7" s="22"/>
      <c r="F7" s="22"/>
      <c r="G7" s="22"/>
      <c r="H7" s="24">
        <f>SUMPRODUCT(InScope*(Tasks[Status]="In progress"))</f>
        <v>15</v>
      </c>
      <c r="I7" s="29"/>
      <c r="J7" s="28">
        <f ca="1">SUMPRODUCT(CondOverdue)</f>
        <v>7</v>
      </c>
      <c r="K7" s="30"/>
      <c r="L7" s="30"/>
      <c r="M7" s="34">
        <f ca="1">SUMPRODUCT(CondFocus)</f>
        <v>6</v>
      </c>
      <c r="N7" s="35"/>
      <c r="O7" s="36"/>
      <c r="P7" s="9"/>
    </row>
    <row r="8" spans="1:16" ht="24" customHeight="1" x14ac:dyDescent="0.25">
      <c r="A8" s="9"/>
      <c r="B8" s="18"/>
      <c r="C8" s="18"/>
      <c r="D8" s="21"/>
      <c r="E8" s="22"/>
      <c r="F8" s="22"/>
      <c r="G8" s="22"/>
      <c r="H8" s="24"/>
      <c r="I8" s="29"/>
      <c r="J8" s="28"/>
      <c r="K8" s="30"/>
      <c r="L8" s="30"/>
      <c r="M8" s="34"/>
      <c r="N8" s="35"/>
      <c r="O8" s="36"/>
      <c r="P8" s="9"/>
    </row>
    <row r="9" spans="1:16" ht="9.9499999999999993" customHeight="1" thickBot="1" x14ac:dyDescent="0.3">
      <c r="A9" s="9"/>
      <c r="B9" s="9"/>
      <c r="C9" s="9"/>
      <c r="D9" s="9"/>
      <c r="E9" s="9"/>
      <c r="F9" s="9"/>
      <c r="G9" s="9"/>
      <c r="H9" s="9"/>
      <c r="I9" s="9"/>
      <c r="J9" s="9"/>
      <c r="K9" s="9"/>
      <c r="L9" s="9"/>
      <c r="M9" s="9"/>
      <c r="N9" s="9"/>
      <c r="O9" s="9"/>
      <c r="P9" s="9"/>
    </row>
    <row r="10" spans="1:16" ht="18" customHeight="1" x14ac:dyDescent="0.25">
      <c r="A10" s="9"/>
      <c r="B10" s="40" t="s">
        <v>139</v>
      </c>
      <c r="C10" s="41"/>
      <c r="D10" s="42" t="s">
        <v>140</v>
      </c>
      <c r="E10" s="41"/>
      <c r="F10" s="45"/>
      <c r="G10" s="9"/>
      <c r="H10" s="37" t="s">
        <v>142</v>
      </c>
      <c r="I10" s="9"/>
      <c r="J10" s="16" t="s">
        <v>143</v>
      </c>
      <c r="K10" s="9"/>
      <c r="L10" s="9"/>
      <c r="M10" s="9"/>
      <c r="N10" s="9"/>
      <c r="O10" s="9"/>
      <c r="P10" s="9"/>
    </row>
    <row r="11" spans="1:16" ht="18" customHeight="1" x14ac:dyDescent="0.25">
      <c r="A11" s="9"/>
      <c r="B11" s="47" t="s">
        <v>7</v>
      </c>
      <c r="C11" s="48" t="s">
        <v>1</v>
      </c>
      <c r="D11" s="48" t="s">
        <v>2</v>
      </c>
      <c r="E11" s="48" t="s">
        <v>5</v>
      </c>
      <c r="F11" s="49" t="s">
        <v>141</v>
      </c>
      <c r="G11" s="9"/>
      <c r="H11" s="38" t="s">
        <v>7</v>
      </c>
      <c r="I11" s="38" t="s">
        <v>1</v>
      </c>
      <c r="J11" s="38" t="s">
        <v>2</v>
      </c>
      <c r="K11" s="38" t="s">
        <v>4</v>
      </c>
      <c r="L11" s="38" t="s">
        <v>5</v>
      </c>
      <c r="M11" s="38" t="s">
        <v>141</v>
      </c>
      <c r="N11" s="38" t="s">
        <v>144</v>
      </c>
      <c r="O11" s="38" t="s">
        <v>3</v>
      </c>
      <c r="P11" s="9"/>
    </row>
    <row r="12" spans="1:16" ht="18" customHeight="1" x14ac:dyDescent="0.25">
      <c r="A12" s="9"/>
      <c r="B12" s="50">
        <f ca="1">IF(Lists!$I4="","",INT(Lists!$H4))</f>
        <v>46297</v>
      </c>
      <c r="C12" s="39" t="str">
        <f ca="1">IF(Lists!$I4="","Nothing due in the next 7 days",INDEX(Tasks[Task],Lists!$I4)&amp;"")</f>
        <v>Payroll calendar 2027</v>
      </c>
      <c r="D12" s="39" t="str">
        <f ca="1">IF(Lists!$I4="","",INDEX(Tasks[Owner],Lists!$I4)&amp;"")</f>
        <v>Jordan M.</v>
      </c>
      <c r="E12" s="39" t="str">
        <f ca="1">IF(Lists!$I4="","",INDEX(Tasks[Priority],Lists!$I4)&amp;"")</f>
        <v>Medium</v>
      </c>
      <c r="F12" s="52">
        <f ca="1">IF(Lists!$I4="","",INDEX(Tasks[% Complete],Lists!$I4))</f>
        <v>0.9</v>
      </c>
      <c r="G12" s="9"/>
      <c r="H12" s="51">
        <f ca="1">IF(Lists!$M4="","",INT(Lists!$L4))</f>
        <v>46297</v>
      </c>
      <c r="I12" s="9" t="str">
        <f ca="1">IF(Lists!$M4="","Nothing coming up",INDEX(Tasks[Task],Lists!$M4)&amp;"")</f>
        <v>Payroll calendar 2027</v>
      </c>
      <c r="J12" s="9" t="str">
        <f ca="1">IF(Lists!$M4="","",INDEX(Tasks[Owner],Lists!$M4)&amp;"")</f>
        <v>Jordan M.</v>
      </c>
      <c r="K12" s="9" t="str">
        <f ca="1">IF(Lists!$M4="","",INDEX(Tasks[Status],Lists!$M4)&amp;"")</f>
        <v>In progress</v>
      </c>
      <c r="L12" s="9" t="str">
        <f ca="1">IF(Lists!$M4="","",INDEX(Tasks[Priority],Lists!$M4)&amp;"")</f>
        <v>Medium</v>
      </c>
      <c r="M12" s="53">
        <f ca="1">IF(Lists!$M4="","",INDEX(Tasks[% Complete],Lists!$M4))</f>
        <v>0.9</v>
      </c>
      <c r="N12" s="54">
        <f ca="1">IF(Lists!$M4="","",INT(Lists!$L4)-TODAY())</f>
        <v>0</v>
      </c>
      <c r="O12" s="9" t="str">
        <f ca="1">IF(Lists!$M4="","",INDEX(Tasks[Department],Lists!$M4)&amp;"")</f>
        <v>Finance</v>
      </c>
      <c r="P12" s="9"/>
    </row>
    <row r="13" spans="1:16" ht="18" customHeight="1" x14ac:dyDescent="0.25">
      <c r="A13" s="9"/>
      <c r="B13" s="50">
        <f ca="1">IF(Lists!$I5="","",INT(Lists!$H5))</f>
        <v>46298</v>
      </c>
      <c r="C13" s="39" t="str">
        <f ca="1">IF(Lists!$I5="","",INDEX(Tasks[Task],Lists!$I5)&amp;"")</f>
        <v>Warehouse rack labels</v>
      </c>
      <c r="D13" s="39" t="str">
        <f ca="1">IF(Lists!$I5="","",INDEX(Tasks[Owner],Lists!$I5)&amp;"")</f>
        <v>Avery K.</v>
      </c>
      <c r="E13" s="39" t="str">
        <f ca="1">IF(Lists!$I5="","",INDEX(Tasks[Priority],Lists!$I5)&amp;"")</f>
        <v>Low</v>
      </c>
      <c r="F13" s="52">
        <f ca="1">IF(Lists!$I5="","",INDEX(Tasks[% Complete],Lists!$I5))</f>
        <v>0.75</v>
      </c>
      <c r="G13" s="9"/>
      <c r="H13" s="51">
        <f ca="1">IF(Lists!$M5="","",INT(Lists!$L5))</f>
        <v>46298</v>
      </c>
      <c r="I13" s="9" t="str">
        <f ca="1">IF(Lists!$M5="","",INDEX(Tasks[Task],Lists!$M5)&amp;"")</f>
        <v>Warehouse rack labels</v>
      </c>
      <c r="J13" s="9" t="str">
        <f ca="1">IF(Lists!$M5="","",INDEX(Tasks[Owner],Lists!$M5)&amp;"")</f>
        <v>Avery K.</v>
      </c>
      <c r="K13" s="9" t="str">
        <f ca="1">IF(Lists!$M5="","",INDEX(Tasks[Status],Lists!$M5)&amp;"")</f>
        <v>In progress</v>
      </c>
      <c r="L13" s="9" t="str">
        <f ca="1">IF(Lists!$M5="","",INDEX(Tasks[Priority],Lists!$M5)&amp;"")</f>
        <v>Low</v>
      </c>
      <c r="M13" s="53">
        <f ca="1">IF(Lists!$M5="","",INDEX(Tasks[% Complete],Lists!$M5))</f>
        <v>0.75</v>
      </c>
      <c r="N13" s="54">
        <f ca="1">IF(Lists!$M5="","",INT(Lists!$L5)-TODAY())</f>
        <v>1</v>
      </c>
      <c r="O13" s="9" t="str">
        <f ca="1">IF(Lists!$M5="","",INDEX(Tasks[Department],Lists!$M5)&amp;"")</f>
        <v>Operations</v>
      </c>
      <c r="P13" s="9"/>
    </row>
    <row r="14" spans="1:16" ht="18" customHeight="1" x14ac:dyDescent="0.25">
      <c r="A14" s="9"/>
      <c r="B14" s="50">
        <f ca="1">IF(Lists!$I6="","",INT(Lists!$H6))</f>
        <v>46299</v>
      </c>
      <c r="C14" s="39" t="str">
        <f ca="1">IF(Lists!$I6="","",INDEX(Tasks[Task],Lists!$I6)&amp;"")</f>
        <v>Quote follow-up calls</v>
      </c>
      <c r="D14" s="39" t="str">
        <f ca="1">IF(Lists!$I6="","",INDEX(Tasks[Owner],Lists!$I6)&amp;"")</f>
        <v>Casey L.</v>
      </c>
      <c r="E14" s="39" t="str">
        <f ca="1">IF(Lists!$I6="","",INDEX(Tasks[Priority],Lists!$I6)&amp;"")</f>
        <v>High</v>
      </c>
      <c r="F14" s="52">
        <f ca="1">IF(Lists!$I6="","",INDEX(Tasks[% Complete],Lists!$I6))</f>
        <v>0</v>
      </c>
      <c r="G14" s="9"/>
      <c r="H14" s="51">
        <f ca="1">IF(Lists!$M6="","",INT(Lists!$L6))</f>
        <v>46299</v>
      </c>
      <c r="I14" s="9" t="str">
        <f ca="1">IF(Lists!$M6="","",INDEX(Tasks[Task],Lists!$M6)&amp;"")</f>
        <v>Quote follow-up calls</v>
      </c>
      <c r="J14" s="9" t="str">
        <f ca="1">IF(Lists!$M6="","",INDEX(Tasks[Owner],Lists!$M6)&amp;"")</f>
        <v>Casey L.</v>
      </c>
      <c r="K14" s="9" t="str">
        <f ca="1">IF(Lists!$M6="","",INDEX(Tasks[Status],Lists!$M6)&amp;"")</f>
        <v>Not started</v>
      </c>
      <c r="L14" s="9" t="str">
        <f ca="1">IF(Lists!$M6="","",INDEX(Tasks[Priority],Lists!$M6)&amp;"")</f>
        <v>High</v>
      </c>
      <c r="M14" s="53">
        <f ca="1">IF(Lists!$M6="","",INDEX(Tasks[% Complete],Lists!$M6))</f>
        <v>0</v>
      </c>
      <c r="N14" s="54">
        <f ca="1">IF(Lists!$M6="","",INT(Lists!$L6)-TODAY())</f>
        <v>2</v>
      </c>
      <c r="O14" s="9" t="str">
        <f ca="1">IF(Lists!$M6="","",INDEX(Tasks[Department],Lists!$M6)&amp;"")</f>
        <v>Sales</v>
      </c>
      <c r="P14" s="9"/>
    </row>
    <row r="15" spans="1:16" ht="18" customHeight="1" x14ac:dyDescent="0.25">
      <c r="A15" s="9"/>
      <c r="B15" s="50">
        <f ca="1">IF(Lists!$I7="","",INT(Lists!$H7))</f>
        <v>46300</v>
      </c>
      <c r="C15" s="39" t="str">
        <f ca="1">IF(Lists!$I7="","",INDEX(Tasks[Task],Lists!$I7)&amp;"")</f>
        <v>Laptop refresh order</v>
      </c>
      <c r="D15" s="39" t="str">
        <f ca="1">IF(Lists!$I7="","",INDEX(Tasks[Owner],Lists!$I7)&amp;"")</f>
        <v>Riley P.</v>
      </c>
      <c r="E15" s="39" t="str">
        <f ca="1">IF(Lists!$I7="","",INDEX(Tasks[Priority],Lists!$I7)&amp;"")</f>
        <v>Medium</v>
      </c>
      <c r="F15" s="52">
        <f ca="1">IF(Lists!$I7="","",INDEX(Tasks[% Complete],Lists!$I7))</f>
        <v>0.55000000000000004</v>
      </c>
      <c r="G15" s="9"/>
      <c r="H15" s="51">
        <f ca="1">IF(Lists!$M7="","",INT(Lists!$L7))</f>
        <v>46300</v>
      </c>
      <c r="I15" s="9" t="str">
        <f ca="1">IF(Lists!$M7="","",INDEX(Tasks[Task],Lists!$M7)&amp;"")</f>
        <v>Laptop refresh order</v>
      </c>
      <c r="J15" s="9" t="str">
        <f ca="1">IF(Lists!$M7="","",INDEX(Tasks[Owner],Lists!$M7)&amp;"")</f>
        <v>Riley P.</v>
      </c>
      <c r="K15" s="9" t="str">
        <f ca="1">IF(Lists!$M7="","",INDEX(Tasks[Status],Lists!$M7)&amp;"")</f>
        <v>In progress</v>
      </c>
      <c r="L15" s="9" t="str">
        <f ca="1">IF(Lists!$M7="","",INDEX(Tasks[Priority],Lists!$M7)&amp;"")</f>
        <v>Medium</v>
      </c>
      <c r="M15" s="53">
        <f ca="1">IF(Lists!$M7="","",INDEX(Tasks[% Complete],Lists!$M7))</f>
        <v>0.55000000000000004</v>
      </c>
      <c r="N15" s="54">
        <f ca="1">IF(Lists!$M7="","",INT(Lists!$L7)-TODAY())</f>
        <v>3</v>
      </c>
      <c r="O15" s="9" t="str">
        <f ca="1">IF(Lists!$M7="","",INDEX(Tasks[Department],Lists!$M7)&amp;"")</f>
        <v>IT</v>
      </c>
      <c r="P15" s="9"/>
    </row>
    <row r="16" spans="1:16" ht="18" customHeight="1" x14ac:dyDescent="0.25">
      <c r="A16" s="9"/>
      <c r="B16" s="50">
        <f ca="1">IF(Lists!$I8="","",INT(Lists!$H8))</f>
        <v>46302</v>
      </c>
      <c r="C16" s="39" t="str">
        <f ca="1">IF(Lists!$I8="","",INDEX(Tasks[Task],Lists!$I8)&amp;"")</f>
        <v>Benefits enrollment memo</v>
      </c>
      <c r="D16" s="39" t="str">
        <f ca="1">IF(Lists!$I8="","",INDEX(Tasks[Owner],Lists!$I8)&amp;"")</f>
        <v>Morgan T.</v>
      </c>
      <c r="E16" s="39" t="str">
        <f ca="1">IF(Lists!$I8="","",INDEX(Tasks[Priority],Lists!$I8)&amp;"")</f>
        <v>High</v>
      </c>
      <c r="F16" s="52">
        <f ca="1">IF(Lists!$I8="","",INDEX(Tasks[% Complete],Lists!$I8))</f>
        <v>0.35</v>
      </c>
      <c r="G16" s="9"/>
      <c r="H16" s="51">
        <f ca="1">IF(Lists!$M8="","",INT(Lists!$L8))</f>
        <v>46302</v>
      </c>
      <c r="I16" s="9" t="str">
        <f ca="1">IF(Lists!$M8="","",INDEX(Tasks[Task],Lists!$M8)&amp;"")</f>
        <v>Benefits enrollment memo</v>
      </c>
      <c r="J16" s="9" t="str">
        <f ca="1">IF(Lists!$M8="","",INDEX(Tasks[Owner],Lists!$M8)&amp;"")</f>
        <v>Morgan T.</v>
      </c>
      <c r="K16" s="9" t="str">
        <f ca="1">IF(Lists!$M8="","",INDEX(Tasks[Status],Lists!$M8)&amp;"")</f>
        <v>In progress</v>
      </c>
      <c r="L16" s="9" t="str">
        <f ca="1">IF(Lists!$M8="","",INDEX(Tasks[Priority],Lists!$M8)&amp;"")</f>
        <v>High</v>
      </c>
      <c r="M16" s="53">
        <f ca="1">IF(Lists!$M8="","",INDEX(Tasks[% Complete],Lists!$M8))</f>
        <v>0.35</v>
      </c>
      <c r="N16" s="54">
        <f ca="1">IF(Lists!$M8="","",INT(Lists!$L8)-TODAY())</f>
        <v>5</v>
      </c>
      <c r="O16" s="9" t="str">
        <f ca="1">IF(Lists!$M8="","",INDEX(Tasks[Department],Lists!$M8)&amp;"")</f>
        <v>HR</v>
      </c>
      <c r="P16" s="9"/>
    </row>
    <row r="17" spans="1:16" ht="18" customHeight="1" x14ac:dyDescent="0.25">
      <c r="A17" s="9"/>
      <c r="B17" s="50">
        <f ca="1">IF(Lists!$I9="","",INT(Lists!$H9))</f>
        <v>46303</v>
      </c>
      <c r="C17" s="39" t="str">
        <f ca="1">IF(Lists!$I9="","",INDEX(Tasks[Task],Lists!$I9)&amp;"")</f>
        <v>Fleet insurance renewal</v>
      </c>
      <c r="D17" s="39" t="str">
        <f ca="1">IF(Lists!$I9="","",INDEX(Tasks[Owner],Lists!$I9)&amp;"")</f>
        <v>Taylor R.</v>
      </c>
      <c r="E17" s="39" t="str">
        <f ca="1">IF(Lists!$I9="","",INDEX(Tasks[Priority],Lists!$I9)&amp;"")</f>
        <v>High</v>
      </c>
      <c r="F17" s="52">
        <f ca="1">IF(Lists!$I9="","",INDEX(Tasks[% Complete],Lists!$I9))</f>
        <v>0</v>
      </c>
      <c r="G17" s="9"/>
      <c r="H17" s="16" t="str">
        <f ca="1">IF(SUMPRODUCT(CondUpcoming)&gt;5,"+ "&amp;(SUMPRODUCT(CondUpcoming)-5)&amp;" more not shown","")</f>
        <v>+ 21 more not shown</v>
      </c>
      <c r="I17" s="9"/>
      <c r="J17" s="9"/>
      <c r="K17" s="9"/>
      <c r="L17" s="9"/>
      <c r="M17" s="9"/>
      <c r="N17" s="9"/>
      <c r="O17" s="9"/>
      <c r="P17" s="9"/>
    </row>
    <row r="18" spans="1:16" ht="18" customHeight="1" x14ac:dyDescent="0.25">
      <c r="A18" s="9"/>
      <c r="B18" s="50" t="str">
        <f ca="1">IF(Lists!$I10="","",INT(Lists!$H10))</f>
        <v/>
      </c>
      <c r="C18" s="39" t="str">
        <f ca="1">IF(Lists!$I10="","",INDEX(Tasks[Task],Lists!$I10)&amp;"")</f>
        <v/>
      </c>
      <c r="D18" s="39" t="str">
        <f ca="1">IF(Lists!$I10="","",INDEX(Tasks[Owner],Lists!$I10)&amp;"")</f>
        <v/>
      </c>
      <c r="E18" s="39" t="str">
        <f ca="1">IF(Lists!$I10="","",INDEX(Tasks[Priority],Lists!$I10)&amp;"")</f>
        <v/>
      </c>
      <c r="F18" s="52" t="str">
        <f ca="1">IF(Lists!$I10="","",INDEX(Tasks[% Complete],Lists!$I10))</f>
        <v/>
      </c>
      <c r="G18" s="9"/>
      <c r="H18" s="9"/>
      <c r="I18" s="9"/>
      <c r="J18" s="9"/>
      <c r="K18" s="9"/>
      <c r="L18" s="9"/>
      <c r="M18" s="9"/>
      <c r="N18" s="9"/>
      <c r="O18" s="9"/>
      <c r="P18" s="9"/>
    </row>
    <row r="19" spans="1:16" ht="18" customHeight="1" x14ac:dyDescent="0.25">
      <c r="A19" s="9"/>
      <c r="B19" s="50" t="str">
        <f ca="1">IF(Lists!$I11="","",INT(Lists!$H11))</f>
        <v/>
      </c>
      <c r="C19" s="39" t="str">
        <f ca="1">IF(Lists!$I11="","",INDEX(Tasks[Task],Lists!$I11)&amp;"")</f>
        <v/>
      </c>
      <c r="D19" s="39" t="str">
        <f ca="1">IF(Lists!$I11="","",INDEX(Tasks[Owner],Lists!$I11)&amp;"")</f>
        <v/>
      </c>
      <c r="E19" s="39" t="str">
        <f ca="1">IF(Lists!$I11="","",INDEX(Tasks[Priority],Lists!$I11)&amp;"")</f>
        <v/>
      </c>
      <c r="F19" s="52" t="str">
        <f ca="1">IF(Lists!$I11="","",INDEX(Tasks[% Complete],Lists!$I11))</f>
        <v/>
      </c>
      <c r="G19" s="9"/>
      <c r="H19" s="37" t="s">
        <v>145</v>
      </c>
      <c r="I19" s="9"/>
      <c r="J19" s="16" t="str">
        <f>"Open tasks first, then by due date   |   "&amp;KpiTotal&amp;" match the filters"</f>
        <v>Open tasks first, then by due date   |   42 match the filters</v>
      </c>
      <c r="K19" s="9"/>
      <c r="L19" s="9"/>
      <c r="M19" s="9"/>
      <c r="N19" s="9"/>
      <c r="O19" s="9"/>
      <c r="P19" s="9"/>
    </row>
    <row r="20" spans="1:16" ht="18" customHeight="1" thickBot="1" x14ac:dyDescent="0.3">
      <c r="A20" s="9"/>
      <c r="B20" s="43" t="str">
        <f ca="1">IF(KpiDueThisWeek&gt;8,"+ "&amp;(KpiDueThisWeek-8)&amp;" more not shown","")</f>
        <v/>
      </c>
      <c r="C20" s="44"/>
      <c r="D20" s="44"/>
      <c r="E20" s="44"/>
      <c r="F20" s="46"/>
      <c r="G20" s="9"/>
      <c r="H20" s="38" t="s">
        <v>7</v>
      </c>
      <c r="I20" s="38" t="s">
        <v>1</v>
      </c>
      <c r="J20" s="38" t="s">
        <v>2</v>
      </c>
      <c r="K20" s="38" t="s">
        <v>4</v>
      </c>
      <c r="L20" s="38" t="s">
        <v>5</v>
      </c>
      <c r="M20" s="38" t="s">
        <v>141</v>
      </c>
      <c r="N20" s="38" t="s">
        <v>146</v>
      </c>
      <c r="O20" s="38" t="s">
        <v>3</v>
      </c>
      <c r="P20" s="9"/>
    </row>
    <row r="21" spans="1:16" ht="18" customHeight="1" x14ac:dyDescent="0.25">
      <c r="A21" s="9"/>
      <c r="B21" s="9"/>
      <c r="C21" s="9"/>
      <c r="D21" s="9"/>
      <c r="E21" s="9"/>
      <c r="F21" s="9"/>
      <c r="G21" s="9"/>
      <c r="H21" s="51">
        <f>IF(Lists!$Q4="","",IF(MOD(INT(Lists!$P4),100000)=99999,"",MOD(INT(Lists!$P4),100000)))</f>
        <v>46282</v>
      </c>
      <c r="I21" s="9" t="str">
        <f>IF(Lists!$Q4="","No tasks match these filters",INDEX(Tasks[Task],Lists!$Q4)&amp;"")</f>
        <v>Trade show booth order</v>
      </c>
      <c r="J21" s="9" t="str">
        <f>IF(Lists!$Q4="","",INDEX(Tasks[Owner],Lists!$Q4)&amp;"")</f>
        <v>Casey L.</v>
      </c>
      <c r="K21" s="9" t="str">
        <f>IF(Lists!$Q4="","",INDEX(Tasks[Status],Lists!$Q4)&amp;"")</f>
        <v>Blocked</v>
      </c>
      <c r="L21" s="9" t="str">
        <f>IF(Lists!$Q4="","",INDEX(Tasks[Priority],Lists!$Q4)&amp;"")</f>
        <v>Medium</v>
      </c>
      <c r="M21" s="53">
        <f>IF(Lists!$Q4="","",INDEX(Tasks[% Complete],Lists!$Q4))</f>
        <v>0.3</v>
      </c>
      <c r="N21" s="55" t="str">
        <f ca="1">IF(OR(Lists!$Q4="",H21="",K21="Done"),"",IF(H21&lt;TODAY(),"OVERDUE",IF(H21&lt;=TODAY()+6,"This week","")))</f>
        <v>OVERDUE</v>
      </c>
      <c r="O21" s="9" t="str">
        <f>IF(Lists!$Q4="","",INDEX(Tasks[Department],Lists!$Q4)&amp;"")</f>
        <v>Sales</v>
      </c>
      <c r="P21" s="9"/>
    </row>
    <row r="22" spans="1:16" ht="18" customHeight="1" x14ac:dyDescent="0.25">
      <c r="A22" s="9"/>
      <c r="B22" s="37" t="s">
        <v>147</v>
      </c>
      <c r="C22" s="9"/>
      <c r="D22" s="16" t="s">
        <v>148</v>
      </c>
      <c r="E22" s="9"/>
      <c r="F22" s="9"/>
      <c r="G22" s="9"/>
      <c r="H22" s="51">
        <f>IF(Lists!$Q5="","",IF(MOD(INT(Lists!$P5),100000)=99999,"",MOD(INT(Lists!$P5),100000)))</f>
        <v>46285</v>
      </c>
      <c r="I22" s="9" t="str">
        <f>IF(Lists!$Q5="","",INDEX(Tasks[Task],Lists!$Q5)&amp;"")</f>
        <v>Vendor contract renewal</v>
      </c>
      <c r="J22" s="9" t="str">
        <f>IF(Lists!$Q5="","",INDEX(Tasks[Owner],Lists!$Q5)&amp;"")</f>
        <v>Taylor R.</v>
      </c>
      <c r="K22" s="9" t="str">
        <f>IF(Lists!$Q5="","",INDEX(Tasks[Status],Lists!$Q5)&amp;"")</f>
        <v>In progress</v>
      </c>
      <c r="L22" s="9" t="str">
        <f>IF(Lists!$Q5="","",INDEX(Tasks[Priority],Lists!$Q5)&amp;"")</f>
        <v>High</v>
      </c>
      <c r="M22" s="53">
        <f>IF(Lists!$Q5="","",INDEX(Tasks[% Complete],Lists!$Q5))</f>
        <v>0.7</v>
      </c>
      <c r="N22" s="55" t="str">
        <f ca="1">IF(OR(Lists!$Q5="",H22="",K22="Done"),"",IF(H22&lt;TODAY(),"OVERDUE",IF(H22&lt;=TODAY()+6,"This week","")))</f>
        <v>OVERDUE</v>
      </c>
      <c r="O22" s="9" t="str">
        <f>IF(Lists!$Q5="","",INDEX(Tasks[Department],Lists!$Q5)&amp;"")</f>
        <v>Operations</v>
      </c>
      <c r="P22" s="9"/>
    </row>
    <row r="23" spans="1:16" ht="18" customHeight="1" x14ac:dyDescent="0.25">
      <c r="A23" s="9"/>
      <c r="B23" s="38" t="s">
        <v>2</v>
      </c>
      <c r="C23" s="38" t="s">
        <v>149</v>
      </c>
      <c r="D23" s="56" t="s">
        <v>150</v>
      </c>
      <c r="E23" s="56" t="s">
        <v>15</v>
      </c>
      <c r="F23" s="56" t="s">
        <v>151</v>
      </c>
      <c r="G23" s="9"/>
      <c r="H23" s="51">
        <f>IF(Lists!$Q6="","",IF(MOD(INT(Lists!$P6),100000)=99999,"",MOD(INT(Lists!$P6),100000)))</f>
        <v>46289</v>
      </c>
      <c r="I23" s="9" t="str">
        <f>IF(Lists!$Q6="","",INDEX(Tasks[Task],Lists!$Q6)&amp;"")</f>
        <v>Customer survey mailing</v>
      </c>
      <c r="J23" s="9" t="str">
        <f>IF(Lists!$Q6="","",INDEX(Tasks[Owner],Lists!$Q6)&amp;"")</f>
        <v>Casey L.</v>
      </c>
      <c r="K23" s="9" t="str">
        <f>IF(Lists!$Q6="","",INDEX(Tasks[Status],Lists!$Q6)&amp;"")</f>
        <v>In progress</v>
      </c>
      <c r="L23" s="9" t="str">
        <f>IF(Lists!$Q6="","",INDEX(Tasks[Priority],Lists!$Q6)&amp;"")</f>
        <v>Medium</v>
      </c>
      <c r="M23" s="53">
        <f>IF(Lists!$Q6="","",INDEX(Tasks[% Complete],Lists!$Q6))</f>
        <v>0.6</v>
      </c>
      <c r="N23" s="55" t="str">
        <f ca="1">IF(OR(Lists!$Q6="",H23="",K23="Done"),"",IF(H23&lt;TODAY(),"OVERDUE",IF(H23&lt;=TODAY()+6,"This week","")))</f>
        <v>OVERDUE</v>
      </c>
      <c r="O23" s="9" t="str">
        <f>IF(Lists!$Q6="","",INDEX(Tasks[Department],Lists!$Q6)&amp;"")</f>
        <v>Sales</v>
      </c>
      <c r="P23" s="9"/>
    </row>
    <row r="24" spans="1:16" ht="18" customHeight="1" x14ac:dyDescent="0.25">
      <c r="A24" s="9"/>
      <c r="B24" s="9" t="str">
        <f>IF(Lists!$A5="","",Lists!$A5)</f>
        <v>Avery K.</v>
      </c>
      <c r="C24" s="53">
        <f>IF(OR(B24="",D24=0),"",SUMPRODUCT(InScope*(Tasks[Owner]=B24)*Tasks[% Complete])/D24)</f>
        <v>0.31</v>
      </c>
      <c r="D24" s="55">
        <f>IF(B24="","",SUMPRODUCT(InScope*(Tasks[Owner]=B24)))</f>
        <v>5</v>
      </c>
      <c r="E24" s="55">
        <f>IF(B24="","",SUMPRODUCT(InScope*(Tasks[Owner]=B24)*(Tasks[Status]="Done")))</f>
        <v>0</v>
      </c>
      <c r="F24" s="55">
        <f ca="1">IF(B24="","",SUMPRODUCT(CondOverdue*(Tasks[Owner]=B24)))</f>
        <v>1</v>
      </c>
      <c r="G24" s="9"/>
      <c r="H24" s="51">
        <f>IF(Lists!$Q7="","",IF(MOD(INT(Lists!$P7),100000)=99999,"",MOD(INT(Lists!$P7),100000)))</f>
        <v>46291</v>
      </c>
      <c r="I24" s="9" t="str">
        <f>IF(Lists!$Q7="","",INDEX(Tasks[Task],Lists!$Q7)&amp;"")</f>
        <v>Backup system test</v>
      </c>
      <c r="J24" s="9" t="str">
        <f>IF(Lists!$Q7="","",INDEX(Tasks[Owner],Lists!$Q7)&amp;"")</f>
        <v>Riley P.</v>
      </c>
      <c r="K24" s="9" t="str">
        <f>IF(Lists!$Q7="","",INDEX(Tasks[Status],Lists!$Q7)&amp;"")</f>
        <v>Blocked</v>
      </c>
      <c r="L24" s="9" t="str">
        <f>IF(Lists!$Q7="","",INDEX(Tasks[Priority],Lists!$Q7)&amp;"")</f>
        <v>High</v>
      </c>
      <c r="M24" s="53">
        <f>IF(Lists!$Q7="","",INDEX(Tasks[% Complete],Lists!$Q7))</f>
        <v>0.4</v>
      </c>
      <c r="N24" s="55" t="str">
        <f ca="1">IF(OR(Lists!$Q7="",H24="",K24="Done"),"",IF(H24&lt;TODAY(),"OVERDUE",IF(H24&lt;=TODAY()+6,"This week","")))</f>
        <v>OVERDUE</v>
      </c>
      <c r="O24" s="9" t="str">
        <f>IF(Lists!$Q7="","",INDEX(Tasks[Department],Lists!$Q7)&amp;"")</f>
        <v>IT</v>
      </c>
      <c r="P24" s="9"/>
    </row>
    <row r="25" spans="1:16" ht="18" customHeight="1" x14ac:dyDescent="0.25">
      <c r="A25" s="9"/>
      <c r="B25" s="9" t="str">
        <f>IF(Lists!$A6="","",Lists!$A6)</f>
        <v>Casey L.</v>
      </c>
      <c r="C25" s="53">
        <f>IF(OR(B25="",D25=0),"",SUMPRODUCT(InScope*(Tasks[Owner]=B25)*Tasks[% Complete])/D25)</f>
        <v>0.37777777777777782</v>
      </c>
      <c r="D25" s="55">
        <f>IF(B25="","",SUMPRODUCT(InScope*(Tasks[Owner]=B25)))</f>
        <v>9</v>
      </c>
      <c r="E25" s="55">
        <f>IF(B25="","",SUMPRODUCT(InScope*(Tasks[Owner]=B25)*(Tasks[Status]="Done")))</f>
        <v>2</v>
      </c>
      <c r="F25" s="55">
        <f ca="1">IF(B25="","",SUMPRODUCT(CondOverdue*(Tasks[Owner]=B25)))</f>
        <v>2</v>
      </c>
      <c r="G25" s="9"/>
      <c r="H25" s="51">
        <f>IF(Lists!$Q8="","",IF(MOD(INT(Lists!$P8),100000)=99999,"",MOD(INT(Lists!$P8),100000)))</f>
        <v>46293</v>
      </c>
      <c r="I25" s="9" t="str">
        <f>IF(Lists!$Q8="","",INDEX(Tasks[Task],Lists!$Q8)&amp;"")</f>
        <v>Expense policy update</v>
      </c>
      <c r="J25" s="9" t="str">
        <f>IF(Lists!$Q8="","",INDEX(Tasks[Owner],Lists!$Q8)&amp;"")</f>
        <v>Jordan M.</v>
      </c>
      <c r="K25" s="9" t="str">
        <f>IF(Lists!$Q8="","",INDEX(Tasks[Status],Lists!$Q8)&amp;"")</f>
        <v>In progress</v>
      </c>
      <c r="L25" s="9" t="str">
        <f>IF(Lists!$Q8="","",INDEX(Tasks[Priority],Lists!$Q8)&amp;"")</f>
        <v>Medium</v>
      </c>
      <c r="M25" s="53">
        <f>IF(Lists!$Q8="","",INDEX(Tasks[% Complete],Lists!$Q8))</f>
        <v>0.8</v>
      </c>
      <c r="N25" s="55" t="str">
        <f ca="1">IF(OR(Lists!$Q8="",H25="",K25="Done"),"",IF(H25&lt;TODAY(),"OVERDUE",IF(H25&lt;=TODAY()+6,"This week","")))</f>
        <v>OVERDUE</v>
      </c>
      <c r="O25" s="9" t="str">
        <f>IF(Lists!$Q8="","",INDEX(Tasks[Department],Lists!$Q8)&amp;"")</f>
        <v>Finance</v>
      </c>
      <c r="P25" s="9"/>
    </row>
    <row r="26" spans="1:16" ht="18" customHeight="1" x14ac:dyDescent="0.25">
      <c r="A26" s="9"/>
      <c r="B26" s="9" t="str">
        <f>IF(Lists!$A7="","",Lists!$A7)</f>
        <v>Jordan M.</v>
      </c>
      <c r="C26" s="53">
        <f>IF(OR(B26="",D26=0),"",SUMPRODUCT(InScope*(Tasks[Owner]=B26)*Tasks[% Complete])/D26)</f>
        <v>0.51875000000000004</v>
      </c>
      <c r="D26" s="55">
        <f>IF(B26="","",SUMPRODUCT(InScope*(Tasks[Owner]=B26)))</f>
        <v>8</v>
      </c>
      <c r="E26" s="55">
        <f>IF(B26="","",SUMPRODUCT(InScope*(Tasks[Owner]=B26)*(Tasks[Status]="Done")))</f>
        <v>2</v>
      </c>
      <c r="F26" s="55">
        <f ca="1">IF(B26="","",SUMPRODUCT(CondOverdue*(Tasks[Owner]=B26)))</f>
        <v>1</v>
      </c>
      <c r="G26" s="9"/>
      <c r="H26" s="51">
        <f>IF(Lists!$Q9="","",IF(MOD(INT(Lists!$P9),100000)=99999,"",MOD(INT(Lists!$P9),100000)))</f>
        <v>46295</v>
      </c>
      <c r="I26" s="9" t="str">
        <f>IF(Lists!$Q9="","",INDEX(Tasks[Task],Lists!$Q9)&amp;"")</f>
        <v>Safety training sign-off</v>
      </c>
      <c r="J26" s="9" t="str">
        <f>IF(Lists!$Q9="","",INDEX(Tasks[Owner],Lists!$Q9)&amp;"")</f>
        <v>Morgan T.</v>
      </c>
      <c r="K26" s="9" t="str">
        <f>IF(Lists!$Q9="","",INDEX(Tasks[Status],Lists!$Q9)&amp;"")</f>
        <v>Not started</v>
      </c>
      <c r="L26" s="9" t="str">
        <f>IF(Lists!$Q9="","",INDEX(Tasks[Priority],Lists!$Q9)&amp;"")</f>
        <v>High</v>
      </c>
      <c r="M26" s="53">
        <f>IF(Lists!$Q9="","",INDEX(Tasks[% Complete],Lists!$Q9))</f>
        <v>0</v>
      </c>
      <c r="N26" s="55" t="str">
        <f ca="1">IF(OR(Lists!$Q9="",H26="",K26="Done"),"",IF(H26&lt;TODAY(),"OVERDUE",IF(H26&lt;=TODAY()+6,"This week","")))</f>
        <v>OVERDUE</v>
      </c>
      <c r="O26" s="9" t="str">
        <f>IF(Lists!$Q9="","",INDEX(Tasks[Department],Lists!$Q9)&amp;"")</f>
        <v>HR</v>
      </c>
      <c r="P26" s="9"/>
    </row>
    <row r="27" spans="1:16" ht="18" customHeight="1" x14ac:dyDescent="0.25">
      <c r="A27" s="9"/>
      <c r="B27" s="9" t="str">
        <f>IF(Lists!$A8="","",Lists!$A8)</f>
        <v>Morgan T.</v>
      </c>
      <c r="C27" s="53">
        <f>IF(OR(B27="",D27=0),"",SUMPRODUCT(InScope*(Tasks[Owner]=B27)*Tasks[% Complete])/D27)</f>
        <v>0.35714285714285715</v>
      </c>
      <c r="D27" s="55">
        <f>IF(B27="","",SUMPRODUCT(InScope*(Tasks[Owner]=B27)))</f>
        <v>7</v>
      </c>
      <c r="E27" s="55">
        <f>IF(B27="","",SUMPRODUCT(InScope*(Tasks[Owner]=B27)*(Tasks[Status]="Done")))</f>
        <v>2</v>
      </c>
      <c r="F27" s="55">
        <f ca="1">IF(B27="","",SUMPRODUCT(CondOverdue*(Tasks[Owner]=B27)))</f>
        <v>1</v>
      </c>
      <c r="G27" s="9"/>
      <c r="H27" s="51">
        <f>IF(Lists!$Q10="","",IF(MOD(INT(Lists!$P10),100000)=99999,"",MOD(INT(Lists!$P10),100000)))</f>
        <v>46296</v>
      </c>
      <c r="I27" s="9" t="str">
        <f>IF(Lists!$Q10="","",INDEX(Tasks[Task],Lists!$Q10)&amp;"")</f>
        <v>Forklift inspection</v>
      </c>
      <c r="J27" s="9" t="str">
        <f>IF(Lists!$Q10="","",INDEX(Tasks[Owner],Lists!$Q10)&amp;"")</f>
        <v>Avery K.</v>
      </c>
      <c r="K27" s="9" t="str">
        <f>IF(Lists!$Q10="","",INDEX(Tasks[Status],Lists!$Q10)&amp;"")</f>
        <v>In progress</v>
      </c>
      <c r="L27" s="9" t="str">
        <f>IF(Lists!$Q10="","",INDEX(Tasks[Priority],Lists!$Q10)&amp;"")</f>
        <v>High</v>
      </c>
      <c r="M27" s="53">
        <f>IF(Lists!$Q10="","",INDEX(Tasks[% Complete],Lists!$Q10))</f>
        <v>0.5</v>
      </c>
      <c r="N27" s="55" t="str">
        <f ca="1">IF(OR(Lists!$Q10="",H27="",K27="Done"),"",IF(H27&lt;TODAY(),"OVERDUE",IF(H27&lt;=TODAY()+6,"This week","")))</f>
        <v>OVERDUE</v>
      </c>
      <c r="O27" s="9" t="str">
        <f>IF(Lists!$Q10="","",INDEX(Tasks[Department],Lists!$Q10)&amp;"")</f>
        <v>Operations</v>
      </c>
      <c r="P27" s="9"/>
    </row>
    <row r="28" spans="1:16" ht="18" customHeight="1" x14ac:dyDescent="0.25">
      <c r="A28" s="9"/>
      <c r="B28" s="9" t="str">
        <f>IF(Lists!$A9="","",Lists!$A9)</f>
        <v>Riley P.</v>
      </c>
      <c r="C28" s="53">
        <f>IF(OR(B28="",D28=0),"",SUMPRODUCT(InScope*(Tasks[Owner]=B28)*Tasks[% Complete])/D28)</f>
        <v>0.41875000000000001</v>
      </c>
      <c r="D28" s="55">
        <f>IF(B28="","",SUMPRODUCT(InScope*(Tasks[Owner]=B28)))</f>
        <v>8</v>
      </c>
      <c r="E28" s="55">
        <f>IF(B28="","",SUMPRODUCT(InScope*(Tasks[Owner]=B28)*(Tasks[Status]="Done")))</f>
        <v>2</v>
      </c>
      <c r="F28" s="55">
        <f ca="1">IF(B28="","",SUMPRODUCT(CondOverdue*(Tasks[Owner]=B28)))</f>
        <v>1</v>
      </c>
      <c r="G28" s="9"/>
      <c r="H28" s="51">
        <f>IF(Lists!$Q11="","",IF(MOD(INT(Lists!$P11),100000)=99999,"",MOD(INT(Lists!$P11),100000)))</f>
        <v>46297</v>
      </c>
      <c r="I28" s="9" t="str">
        <f>IF(Lists!$Q11="","",INDEX(Tasks[Task],Lists!$Q11)&amp;"")</f>
        <v>Payroll calendar 2027</v>
      </c>
      <c r="J28" s="9" t="str">
        <f>IF(Lists!$Q11="","",INDEX(Tasks[Owner],Lists!$Q11)&amp;"")</f>
        <v>Jordan M.</v>
      </c>
      <c r="K28" s="9" t="str">
        <f>IF(Lists!$Q11="","",INDEX(Tasks[Status],Lists!$Q11)&amp;"")</f>
        <v>In progress</v>
      </c>
      <c r="L28" s="9" t="str">
        <f>IF(Lists!$Q11="","",INDEX(Tasks[Priority],Lists!$Q11)&amp;"")</f>
        <v>Medium</v>
      </c>
      <c r="M28" s="53">
        <f>IF(Lists!$Q11="","",INDEX(Tasks[% Complete],Lists!$Q11))</f>
        <v>0.9</v>
      </c>
      <c r="N28" s="55" t="str">
        <f ca="1">IF(OR(Lists!$Q11="",H28="",K28="Done"),"",IF(H28&lt;TODAY(),"OVERDUE",IF(H28&lt;=TODAY()+6,"This week","")))</f>
        <v>This week</v>
      </c>
      <c r="O28" s="9" t="str">
        <f>IF(Lists!$Q11="","",INDEX(Tasks[Department],Lists!$Q11)&amp;"")</f>
        <v>Finance</v>
      </c>
      <c r="P28" s="9"/>
    </row>
    <row r="29" spans="1:16" ht="18" customHeight="1" x14ac:dyDescent="0.25">
      <c r="A29" s="9"/>
      <c r="B29" s="9" t="str">
        <f>IF(Lists!$A10="","",Lists!$A10)</f>
        <v>Taylor R.</v>
      </c>
      <c r="C29" s="53">
        <f>IF(OR(B29="",D29=0),"",SUMPRODUCT(InScope*(Tasks[Owner]=B29)*Tasks[% Complete])/D29)</f>
        <v>0.42000000000000004</v>
      </c>
      <c r="D29" s="55">
        <f>IF(B29="","",SUMPRODUCT(InScope*(Tasks[Owner]=B29)))</f>
        <v>5</v>
      </c>
      <c r="E29" s="55">
        <f>IF(B29="","",SUMPRODUCT(InScope*(Tasks[Owner]=B29)*(Tasks[Status]="Done")))</f>
        <v>1</v>
      </c>
      <c r="F29" s="55">
        <f ca="1">IF(B29="","",SUMPRODUCT(CondOverdue*(Tasks[Owner]=B29)))</f>
        <v>1</v>
      </c>
      <c r="G29" s="9"/>
      <c r="H29" s="51">
        <f>IF(Lists!$Q12="","",IF(MOD(INT(Lists!$P12),100000)=99999,"",MOD(INT(Lists!$P12),100000)))</f>
        <v>46298</v>
      </c>
      <c r="I29" s="9" t="str">
        <f>IF(Lists!$Q12="","",INDEX(Tasks[Task],Lists!$Q12)&amp;"")</f>
        <v>Warehouse rack labels</v>
      </c>
      <c r="J29" s="9" t="str">
        <f>IF(Lists!$Q12="","",INDEX(Tasks[Owner],Lists!$Q12)&amp;"")</f>
        <v>Avery K.</v>
      </c>
      <c r="K29" s="9" t="str">
        <f>IF(Lists!$Q12="","",INDEX(Tasks[Status],Lists!$Q12)&amp;"")</f>
        <v>In progress</v>
      </c>
      <c r="L29" s="9" t="str">
        <f>IF(Lists!$Q12="","",INDEX(Tasks[Priority],Lists!$Q12)&amp;"")</f>
        <v>Low</v>
      </c>
      <c r="M29" s="53">
        <f>IF(Lists!$Q12="","",INDEX(Tasks[% Complete],Lists!$Q12))</f>
        <v>0.75</v>
      </c>
      <c r="N29" s="55" t="str">
        <f ca="1">IF(OR(Lists!$Q12="",H29="",K29="Done"),"",IF(H29&lt;TODAY(),"OVERDUE",IF(H29&lt;=TODAY()+6,"This week","")))</f>
        <v>This week</v>
      </c>
      <c r="O29" s="9" t="str">
        <f>IF(Lists!$Q12="","",INDEX(Tasks[Department],Lists!$Q12)&amp;"")</f>
        <v>Operations</v>
      </c>
      <c r="P29" s="9"/>
    </row>
    <row r="30" spans="1:16" ht="18" customHeight="1" x14ac:dyDescent="0.25">
      <c r="A30" s="9"/>
      <c r="B30" s="9" t="str">
        <f>IF(Lists!$A11="","",Lists!$A11)</f>
        <v/>
      </c>
      <c r="C30" s="53" t="str">
        <f>IF(OR(B30="",D30=0),"",SUMPRODUCT(InScope*(Tasks[Owner]=B30)*Tasks[% Complete])/D30)</f>
        <v/>
      </c>
      <c r="D30" s="55" t="str">
        <f>IF(B30="","",SUMPRODUCT(InScope*(Tasks[Owner]=B30)))</f>
        <v/>
      </c>
      <c r="E30" s="55" t="str">
        <f>IF(B30="","",SUMPRODUCT(InScope*(Tasks[Owner]=B30)*(Tasks[Status]="Done")))</f>
        <v/>
      </c>
      <c r="F30" s="55" t="str">
        <f>IF(B30="","",SUMPRODUCT(CondOverdue*(Tasks[Owner]=B30)))</f>
        <v/>
      </c>
      <c r="G30" s="9"/>
      <c r="H30" s="51">
        <f>IF(Lists!$Q13="","",IF(MOD(INT(Lists!$P13),100000)=99999,"",MOD(INT(Lists!$P13),100000)))</f>
        <v>46299</v>
      </c>
      <c r="I30" s="9" t="str">
        <f>IF(Lists!$Q13="","",INDEX(Tasks[Task],Lists!$Q13)&amp;"")</f>
        <v>Quote follow-up calls</v>
      </c>
      <c r="J30" s="9" t="str">
        <f>IF(Lists!$Q13="","",INDEX(Tasks[Owner],Lists!$Q13)&amp;"")</f>
        <v>Casey L.</v>
      </c>
      <c r="K30" s="9" t="str">
        <f>IF(Lists!$Q13="","",INDEX(Tasks[Status],Lists!$Q13)&amp;"")</f>
        <v>Not started</v>
      </c>
      <c r="L30" s="9" t="str">
        <f>IF(Lists!$Q13="","",INDEX(Tasks[Priority],Lists!$Q13)&amp;"")</f>
        <v>High</v>
      </c>
      <c r="M30" s="53">
        <f>IF(Lists!$Q13="","",INDEX(Tasks[% Complete],Lists!$Q13))</f>
        <v>0</v>
      </c>
      <c r="N30" s="55" t="str">
        <f ca="1">IF(OR(Lists!$Q13="",H30="",K30="Done"),"",IF(H30&lt;TODAY(),"OVERDUE",IF(H30&lt;=TODAY()+6,"This week","")))</f>
        <v>This week</v>
      </c>
      <c r="O30" s="9" t="str">
        <f>IF(Lists!$Q13="","",INDEX(Tasks[Department],Lists!$Q13)&amp;"")</f>
        <v>Sales</v>
      </c>
      <c r="P30" s="9"/>
    </row>
    <row r="31" spans="1:16" ht="18" customHeight="1" x14ac:dyDescent="0.25">
      <c r="A31" s="9"/>
      <c r="B31" s="9" t="str">
        <f>IF(Lists!$A12="","",Lists!$A12)</f>
        <v/>
      </c>
      <c r="C31" s="53" t="str">
        <f>IF(OR(B31="",D31=0),"",SUMPRODUCT(InScope*(Tasks[Owner]=B31)*Tasks[% Complete])/D31)</f>
        <v/>
      </c>
      <c r="D31" s="55" t="str">
        <f>IF(B31="","",SUMPRODUCT(InScope*(Tasks[Owner]=B31)))</f>
        <v/>
      </c>
      <c r="E31" s="55" t="str">
        <f>IF(B31="","",SUMPRODUCT(InScope*(Tasks[Owner]=B31)*(Tasks[Status]="Done")))</f>
        <v/>
      </c>
      <c r="F31" s="55" t="str">
        <f>IF(B31="","",SUMPRODUCT(CondOverdue*(Tasks[Owner]=B31)))</f>
        <v/>
      </c>
      <c r="G31" s="9"/>
      <c r="H31" s="51">
        <f>IF(Lists!$Q14="","",IF(MOD(INT(Lists!$P14),100000)=99999,"",MOD(INT(Lists!$P14),100000)))</f>
        <v>46300</v>
      </c>
      <c r="I31" s="9" t="str">
        <f>IF(Lists!$Q14="","",INDEX(Tasks[Task],Lists!$Q14)&amp;"")</f>
        <v>Laptop refresh order</v>
      </c>
      <c r="J31" s="9" t="str">
        <f>IF(Lists!$Q14="","",INDEX(Tasks[Owner],Lists!$Q14)&amp;"")</f>
        <v>Riley P.</v>
      </c>
      <c r="K31" s="9" t="str">
        <f>IF(Lists!$Q14="","",INDEX(Tasks[Status],Lists!$Q14)&amp;"")</f>
        <v>In progress</v>
      </c>
      <c r="L31" s="9" t="str">
        <f>IF(Lists!$Q14="","",INDEX(Tasks[Priority],Lists!$Q14)&amp;"")</f>
        <v>Medium</v>
      </c>
      <c r="M31" s="53">
        <f>IF(Lists!$Q14="","",INDEX(Tasks[% Complete],Lists!$Q14))</f>
        <v>0.55000000000000004</v>
      </c>
      <c r="N31" s="55" t="str">
        <f ca="1">IF(OR(Lists!$Q14="",H31="",K31="Done"),"",IF(H31&lt;TODAY(),"OVERDUE",IF(H31&lt;=TODAY()+6,"This week","")))</f>
        <v>This week</v>
      </c>
      <c r="O31" s="9" t="str">
        <f>IF(Lists!$Q14="","",INDEX(Tasks[Department],Lists!$Q14)&amp;"")</f>
        <v>IT</v>
      </c>
      <c r="P31" s="9"/>
    </row>
    <row r="32" spans="1:16" ht="18" customHeight="1" x14ac:dyDescent="0.25">
      <c r="A32" s="9"/>
      <c r="B32" s="16" t="str">
        <f>IF(COUNTIF(Lists!$A$5:$A$34,"?*")&gt;8,"+ "&amp;(COUNTIF(Lists!$A$5:$A$34,"?*")-8)&amp;" more owners not shown","")</f>
        <v/>
      </c>
      <c r="C32" s="9"/>
      <c r="D32" s="9"/>
      <c r="E32" s="9"/>
      <c r="F32" s="9"/>
      <c r="G32" s="9"/>
      <c r="H32" s="51">
        <f>IF(Lists!$Q15="","",IF(MOD(INT(Lists!$P15),100000)=99999,"",MOD(INT(Lists!$P15),100000)))</f>
        <v>46302</v>
      </c>
      <c r="I32" s="9" t="str">
        <f>IF(Lists!$Q15="","",INDEX(Tasks[Task],Lists!$Q15)&amp;"")</f>
        <v>Benefits enrollment memo</v>
      </c>
      <c r="J32" s="9" t="str">
        <f>IF(Lists!$Q15="","",INDEX(Tasks[Owner],Lists!$Q15)&amp;"")</f>
        <v>Morgan T.</v>
      </c>
      <c r="K32" s="9" t="str">
        <f>IF(Lists!$Q15="","",INDEX(Tasks[Status],Lists!$Q15)&amp;"")</f>
        <v>In progress</v>
      </c>
      <c r="L32" s="9" t="str">
        <f>IF(Lists!$Q15="","",INDEX(Tasks[Priority],Lists!$Q15)&amp;"")</f>
        <v>High</v>
      </c>
      <c r="M32" s="53">
        <f>IF(Lists!$Q15="","",INDEX(Tasks[% Complete],Lists!$Q15))</f>
        <v>0.35</v>
      </c>
      <c r="N32" s="55" t="str">
        <f ca="1">IF(OR(Lists!$Q15="",H32="",K32="Done"),"",IF(H32&lt;TODAY(),"OVERDUE",IF(H32&lt;=TODAY()+6,"This week","")))</f>
        <v>This week</v>
      </c>
      <c r="O32" s="9" t="str">
        <f>IF(Lists!$Q15="","",INDEX(Tasks[Department],Lists!$Q15)&amp;"")</f>
        <v>HR</v>
      </c>
      <c r="P32" s="9"/>
    </row>
    <row r="33" spans="1:16" ht="18" customHeight="1" x14ac:dyDescent="0.25">
      <c r="A33" s="9"/>
      <c r="B33" s="9"/>
      <c r="C33" s="9"/>
      <c r="D33" s="9"/>
      <c r="E33" s="9"/>
      <c r="F33" s="9"/>
      <c r="G33" s="9"/>
      <c r="H33" s="51">
        <f>IF(Lists!$Q16="","",IF(MOD(INT(Lists!$P16),100000)=99999,"",MOD(INT(Lists!$P16),100000)))</f>
        <v>46303</v>
      </c>
      <c r="I33" s="9" t="str">
        <f>IF(Lists!$Q16="","",INDEX(Tasks[Task],Lists!$Q16)&amp;"")</f>
        <v>Fleet insurance renewal</v>
      </c>
      <c r="J33" s="9" t="str">
        <f>IF(Lists!$Q16="","",INDEX(Tasks[Owner],Lists!$Q16)&amp;"")</f>
        <v>Taylor R.</v>
      </c>
      <c r="K33" s="9" t="str">
        <f>IF(Lists!$Q16="","",INDEX(Tasks[Status],Lists!$Q16)&amp;"")</f>
        <v>Not started</v>
      </c>
      <c r="L33" s="9" t="str">
        <f>IF(Lists!$Q16="","",INDEX(Tasks[Priority],Lists!$Q16)&amp;"")</f>
        <v>High</v>
      </c>
      <c r="M33" s="53">
        <f>IF(Lists!$Q16="","",INDEX(Tasks[% Complete],Lists!$Q16))</f>
        <v>0</v>
      </c>
      <c r="N33" s="55" t="str">
        <f ca="1">IF(OR(Lists!$Q16="",H33="",K33="Done"),"",IF(H33&lt;TODAY(),"OVERDUE",IF(H33&lt;=TODAY()+6,"This week","")))</f>
        <v>This week</v>
      </c>
      <c r="O33" s="9" t="str">
        <f>IF(Lists!$Q16="","",INDEX(Tasks[Department],Lists!$Q16)&amp;"")</f>
        <v>Operations</v>
      </c>
      <c r="P33" s="9"/>
    </row>
    <row r="34" spans="1:16" ht="18" customHeight="1" x14ac:dyDescent="0.25">
      <c r="A34" s="9"/>
      <c r="B34" s="9"/>
      <c r="C34" s="9"/>
      <c r="D34" s="9"/>
      <c r="E34" s="9"/>
      <c r="F34" s="9"/>
      <c r="G34" s="9"/>
      <c r="H34" s="51">
        <f>IF(Lists!$Q17="","",IF(MOD(INT(Lists!$P17),100000)=99999,"",MOD(INT(Lists!$P17),100000)))</f>
        <v>46304</v>
      </c>
      <c r="I34" s="9" t="str">
        <f>IF(Lists!$Q17="","",INDEX(Tasks[Task],Lists!$Q17)&amp;"")</f>
        <v>Budget draft for 2027</v>
      </c>
      <c r="J34" s="9" t="str">
        <f>IF(Lists!$Q17="","",INDEX(Tasks[Owner],Lists!$Q17)&amp;"")</f>
        <v>Jordan M.</v>
      </c>
      <c r="K34" s="9" t="str">
        <f>IF(Lists!$Q17="","",INDEX(Tasks[Status],Lists!$Q17)&amp;"")</f>
        <v>In progress</v>
      </c>
      <c r="L34" s="9" t="str">
        <f>IF(Lists!$Q17="","",INDEX(Tasks[Priority],Lists!$Q17)&amp;"")</f>
        <v>High</v>
      </c>
      <c r="M34" s="53">
        <f>IF(Lists!$Q17="","",INDEX(Tasks[% Complete],Lists!$Q17))</f>
        <v>0.45</v>
      </c>
      <c r="N34" s="55" t="str">
        <f ca="1">IF(OR(Lists!$Q17="",H34="",K34="Done"),"",IF(H34&lt;TODAY(),"OVERDUE",IF(H34&lt;=TODAY()+6,"This week","")))</f>
        <v/>
      </c>
      <c r="O34" s="9" t="str">
        <f>IF(Lists!$Q17="","",INDEX(Tasks[Department],Lists!$Q17)&amp;"")</f>
        <v>Finance</v>
      </c>
      <c r="P34" s="9"/>
    </row>
    <row r="35" spans="1:16" ht="18" customHeight="1" x14ac:dyDescent="0.25">
      <c r="A35" s="9"/>
      <c r="B35" s="9"/>
      <c r="C35" s="9"/>
      <c r="D35" s="9"/>
      <c r="E35" s="9"/>
      <c r="F35" s="9"/>
      <c r="G35" s="9"/>
      <c r="H35" s="51">
        <f>IF(Lists!$Q18="","",IF(MOD(INT(Lists!$P18),100000)=99999,"",MOD(INT(Lists!$P18),100000)))</f>
        <v>46305</v>
      </c>
      <c r="I35" s="9" t="str">
        <f>IF(Lists!$Q18="","",INDEX(Tasks[Task],Lists!$Q18)&amp;"")</f>
        <v>Website contact form fix</v>
      </c>
      <c r="J35" s="9" t="str">
        <f>IF(Lists!$Q18="","",INDEX(Tasks[Owner],Lists!$Q18)&amp;"")</f>
        <v>Riley P.</v>
      </c>
      <c r="K35" s="9" t="str">
        <f>IF(Lists!$Q18="","",INDEX(Tasks[Status],Lists!$Q18)&amp;"")</f>
        <v>Not started</v>
      </c>
      <c r="L35" s="9" t="str">
        <f>IF(Lists!$Q18="","",INDEX(Tasks[Priority],Lists!$Q18)&amp;"")</f>
        <v>Medium</v>
      </c>
      <c r="M35" s="53">
        <f>IF(Lists!$Q18="","",INDEX(Tasks[% Complete],Lists!$Q18))</f>
        <v>0</v>
      </c>
      <c r="N35" s="55" t="str">
        <f ca="1">IF(OR(Lists!$Q18="",H35="",K35="Done"),"",IF(H35&lt;TODAY(),"OVERDUE",IF(H35&lt;=TODAY()+6,"This week","")))</f>
        <v/>
      </c>
      <c r="O35" s="9" t="str">
        <f>IF(Lists!$Q18="","",INDEX(Tasks[Department],Lists!$Q18)&amp;"")</f>
        <v>IT</v>
      </c>
      <c r="P35" s="9"/>
    </row>
    <row r="36" spans="1:16" ht="18" customHeight="1" x14ac:dyDescent="0.25">
      <c r="A36" s="9"/>
      <c r="B36" s="9"/>
      <c r="C36" s="9"/>
      <c r="D36" s="9"/>
      <c r="E36" s="9"/>
      <c r="F36" s="9"/>
      <c r="G36" s="9"/>
      <c r="H36" s="16" t="str">
        <f>IF(KpiTotal&gt;15,"+ "&amp;(KpiTotal-15)&amp;" more not shown","")</f>
        <v>+ 27 more not shown</v>
      </c>
      <c r="I36" s="9"/>
      <c r="J36" s="9"/>
      <c r="K36" s="9"/>
      <c r="L36" s="9"/>
      <c r="M36" s="9"/>
      <c r="N36" s="9"/>
      <c r="O36" s="9"/>
      <c r="P36" s="9"/>
    </row>
    <row r="37" spans="1:16" ht="18" customHeight="1" x14ac:dyDescent="0.25">
      <c r="A37" s="9"/>
      <c r="B37" s="9"/>
      <c r="C37" s="9"/>
      <c r="D37" s="9"/>
      <c r="E37" s="9"/>
      <c r="F37" s="9"/>
      <c r="G37" s="9"/>
      <c r="H37" s="9"/>
      <c r="I37" s="9"/>
      <c r="J37" s="9"/>
      <c r="K37" s="9"/>
      <c r="L37" s="9"/>
      <c r="M37" s="9"/>
      <c r="N37" s="9"/>
      <c r="O37" s="9"/>
      <c r="P37" s="9"/>
    </row>
    <row r="38" spans="1:16" x14ac:dyDescent="0.25">
      <c r="A38" s="9"/>
      <c r="B38" s="9"/>
      <c r="C38" s="9"/>
      <c r="D38" s="9"/>
      <c r="E38" s="9"/>
      <c r="F38" s="9"/>
      <c r="G38" s="9"/>
      <c r="H38" s="9"/>
      <c r="I38" s="9"/>
      <c r="J38" s="9"/>
      <c r="K38" s="9"/>
      <c r="L38" s="9"/>
      <c r="M38" s="9"/>
      <c r="N38" s="9"/>
      <c r="O38" s="9"/>
      <c r="P38" s="9"/>
    </row>
    <row r="39" spans="1:16" x14ac:dyDescent="0.25">
      <c r="A39" s="9"/>
      <c r="B39" s="9"/>
      <c r="C39" s="9"/>
      <c r="D39" s="9"/>
      <c r="E39" s="9"/>
      <c r="F39" s="9"/>
      <c r="G39" s="9"/>
      <c r="H39" s="9"/>
      <c r="I39" s="9"/>
      <c r="J39" s="9"/>
      <c r="K39" s="9"/>
      <c r="L39" s="9"/>
      <c r="M39" s="9"/>
      <c r="N39" s="9"/>
      <c r="O39" s="9"/>
      <c r="P39" s="9"/>
    </row>
    <row r="40" spans="1:16" x14ac:dyDescent="0.25">
      <c r="A40" s="9"/>
      <c r="B40" s="9"/>
      <c r="C40" s="9"/>
      <c r="D40" s="9"/>
      <c r="E40" s="9"/>
      <c r="F40" s="9"/>
      <c r="G40" s="9"/>
      <c r="H40" s="9"/>
      <c r="I40" s="9"/>
      <c r="J40" s="9"/>
      <c r="K40" s="9"/>
      <c r="L40" s="9"/>
      <c r="M40" s="9"/>
      <c r="N40" s="9"/>
      <c r="O40" s="9"/>
      <c r="P40" s="9"/>
    </row>
  </sheetData>
  <mergeCells count="11">
    <mergeCell ref="J6:L6"/>
    <mergeCell ref="J7:L8"/>
    <mergeCell ref="M6:O6"/>
    <mergeCell ref="M7:O8"/>
    <mergeCell ref="E4:F4"/>
    <mergeCell ref="B6:C6"/>
    <mergeCell ref="B7:C8"/>
    <mergeCell ref="D6:G6"/>
    <mergeCell ref="D7:G8"/>
    <mergeCell ref="H6:I6"/>
    <mergeCell ref="H7:I8"/>
  </mergeCells>
  <conditionalFormatting sqref="F12:F19">
    <cfRule type="dataBar" priority="1">
      <dataBar>
        <cfvo type="num" val="0"/>
        <cfvo type="num" val="1"/>
        <color rgb="FFE8B84A"/>
      </dataBar>
      <extLst>
        <ext xmlns:x14="http://schemas.microsoft.com/office/spreadsheetml/2009/9/main" uri="{B025F937-C7B1-47D3-B67F-A62EFF666E3E}">
          <x14:id>{88CA7355-8FBC-4163-B62E-73B131EF93AE}</x14:id>
        </ext>
      </extLst>
    </cfRule>
  </conditionalFormatting>
  <conditionalFormatting sqref="M12:M16">
    <cfRule type="dataBar" priority="2">
      <dataBar>
        <cfvo type="num" val="0"/>
        <cfvo type="num" val="1"/>
        <color rgb="FF7FB2E5"/>
      </dataBar>
      <extLst>
        <ext xmlns:x14="http://schemas.microsoft.com/office/spreadsheetml/2009/9/main" uri="{B025F937-C7B1-47D3-B67F-A62EFF666E3E}">
          <x14:id>{9C0BAB09-3951-4C45-81C3-5E0E334A7CFA}</x14:id>
        </ext>
      </extLst>
    </cfRule>
  </conditionalFormatting>
  <conditionalFormatting sqref="M21:M35">
    <cfRule type="dataBar" priority="3">
      <dataBar>
        <cfvo type="num" val="0"/>
        <cfvo type="num" val="1"/>
        <color rgb="FF7FB2E5"/>
      </dataBar>
      <extLst>
        <ext xmlns:x14="http://schemas.microsoft.com/office/spreadsheetml/2009/9/main" uri="{B025F937-C7B1-47D3-B67F-A62EFF666E3E}">
          <x14:id>{E2A53AFF-9032-4773-981D-A77642FF4DB7}</x14:id>
        </ext>
      </extLst>
    </cfRule>
  </conditionalFormatting>
  <conditionalFormatting sqref="C24:C31">
    <cfRule type="dataBar" priority="4">
      <dataBar>
        <cfvo type="num" val="0"/>
        <cfvo type="num" val="1"/>
        <color rgb="FF6DBE8B"/>
      </dataBar>
      <extLst>
        <ext xmlns:x14="http://schemas.microsoft.com/office/spreadsheetml/2009/9/main" uri="{B025F937-C7B1-47D3-B67F-A62EFF666E3E}">
          <x14:id>{3F700B6D-9D8A-4367-B352-D75AC487BD9B}</x14:id>
        </ext>
      </extLst>
    </cfRule>
  </conditionalFormatting>
  <conditionalFormatting sqref="N21:N35">
    <cfRule type="cellIs" dxfId="9" priority="5" stopIfTrue="1" operator="equal">
      <formula>"OVERDUE"</formula>
    </cfRule>
    <cfRule type="cellIs" dxfId="8" priority="6" stopIfTrue="1" operator="equal">
      <formula>"This week"</formula>
    </cfRule>
  </conditionalFormatting>
  <conditionalFormatting sqref="E12:E19">
    <cfRule type="cellIs" dxfId="7" priority="7" stopIfTrue="1" operator="equal">
      <formula>"High"</formula>
    </cfRule>
  </conditionalFormatting>
  <conditionalFormatting sqref="L12:L16">
    <cfRule type="cellIs" dxfId="6" priority="8" stopIfTrue="1" operator="equal">
      <formula>"High"</formula>
    </cfRule>
  </conditionalFormatting>
  <conditionalFormatting sqref="L21:L35">
    <cfRule type="cellIs" dxfId="5" priority="9" stopIfTrue="1" operator="equal">
      <formula>"High"</formula>
    </cfRule>
  </conditionalFormatting>
  <conditionalFormatting sqref="K12:K16">
    <cfRule type="cellIs" dxfId="4" priority="10" stopIfTrue="1" operator="equal">
      <formula>"Blocked"</formula>
    </cfRule>
    <cfRule type="cellIs" dxfId="3" priority="11" stopIfTrue="1" operator="equal">
      <formula>"Done"</formula>
    </cfRule>
  </conditionalFormatting>
  <conditionalFormatting sqref="K21:K35">
    <cfRule type="cellIs" dxfId="2" priority="12" stopIfTrue="1" operator="equal">
      <formula>"Blocked"</formula>
    </cfRule>
    <cfRule type="cellIs" dxfId="1" priority="13" stopIfTrue="1" operator="equal">
      <formula>"Done"</formula>
    </cfRule>
  </conditionalFormatting>
  <conditionalFormatting sqref="F24:F31">
    <cfRule type="cellIs" dxfId="0" priority="14" stopIfTrue="1" operator="greaterThan">
      <formula>0</formula>
    </cfRule>
  </conditionalFormatting>
  <dataValidations count="3">
    <dataValidation type="list" allowBlank="1" showInputMessage="1" showErrorMessage="1" errorTitle="Owner" error="Pick a value from the list." sqref="C4" xr:uid="{62CBA168-226B-4D6C-BF81-143A340CD588}">
      <formula1>OwnerList</formula1>
    </dataValidation>
    <dataValidation type="list" allowBlank="1" showInputMessage="1" showErrorMessage="1" errorTitle="Status" error="Pick a value from the list." sqref="E4" xr:uid="{F8CA078E-84BA-440E-A7D6-5726C085F552}">
      <formula1>StatusList</formula1>
    </dataValidation>
    <dataValidation type="list" allowBlank="1" showInputMessage="1" showErrorMessage="1" errorTitle="Year" error="Pick a value from the list." sqref="I4" xr:uid="{75B4F56E-14DF-4519-8A50-7C6E0BF0A07F}">
      <formula1>YearList</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8CA7355-8FBC-4163-B62E-73B131EF93AE}">
            <x14:dataBar minLength="0" maxLength="100" gradient="0" negativeBarColorSameAsPositive="1" axisPosition="none">
              <x14:cfvo type="num">
                <xm:f>0</xm:f>
              </x14:cfvo>
              <x14:cfvo type="num">
                <xm:f>1</xm:f>
              </x14:cfvo>
            </x14:dataBar>
          </x14:cfRule>
          <xm:sqref>F12:F19</xm:sqref>
        </x14:conditionalFormatting>
        <x14:conditionalFormatting xmlns:xm="http://schemas.microsoft.com/office/excel/2006/main">
          <x14:cfRule type="dataBar" id="{9C0BAB09-3951-4C45-81C3-5E0E334A7CFA}">
            <x14:dataBar minLength="0" maxLength="100" gradient="0" negativeBarColorSameAsPositive="1" axisPosition="none">
              <x14:cfvo type="num">
                <xm:f>0</xm:f>
              </x14:cfvo>
              <x14:cfvo type="num">
                <xm:f>1</xm:f>
              </x14:cfvo>
            </x14:dataBar>
          </x14:cfRule>
          <xm:sqref>M12:M16</xm:sqref>
        </x14:conditionalFormatting>
        <x14:conditionalFormatting xmlns:xm="http://schemas.microsoft.com/office/excel/2006/main">
          <x14:cfRule type="dataBar" id="{E2A53AFF-9032-4773-981D-A77642FF4DB7}">
            <x14:dataBar minLength="0" maxLength="100" gradient="0" negativeBarColorSameAsPositive="1" axisPosition="none">
              <x14:cfvo type="num">
                <xm:f>0</xm:f>
              </x14:cfvo>
              <x14:cfvo type="num">
                <xm:f>1</xm:f>
              </x14:cfvo>
            </x14:dataBar>
          </x14:cfRule>
          <xm:sqref>M21:M35</xm:sqref>
        </x14:conditionalFormatting>
        <x14:conditionalFormatting xmlns:xm="http://schemas.microsoft.com/office/excel/2006/main">
          <x14:cfRule type="dataBar" id="{3F700B6D-9D8A-4367-B352-D75AC487BD9B}">
            <x14:dataBar minLength="0" maxLength="100" gradient="0" negativeBarColorSameAsPositive="1" axisPosition="none">
              <x14:cfvo type="num">
                <xm:f>0</xm:f>
              </x14:cfvo>
              <x14:cfvo type="num">
                <xm:f>1</xm:f>
              </x14:cfvo>
            </x14:dataBar>
          </x14:cfRule>
          <xm:sqref>C24:C31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C6578-B0F7-44E9-AB44-17B4843E0015}">
  <dimension ref="A1:K43"/>
  <sheetViews>
    <sheetView workbookViewId="0">
      <pane ySplit="1" topLeftCell="A2" activePane="bottomLeft" state="frozen"/>
      <selection pane="bottomLeft"/>
    </sheetView>
  </sheetViews>
  <sheetFormatPr defaultRowHeight="15" x14ac:dyDescent="0.25"/>
  <cols>
    <col min="1" max="1" width="8.7109375" style="3" customWidth="1"/>
    <col min="2" max="2" width="30.7109375" customWidth="1"/>
    <col min="3" max="5" width="13.7109375" customWidth="1"/>
    <col min="6" max="6" width="10.7109375" customWidth="1"/>
    <col min="7" max="8" width="14.7109375" style="1" customWidth="1"/>
    <col min="9" max="9" width="13.7109375" style="2" customWidth="1"/>
    <col min="10" max="10" width="8.7109375" style="4" customWidth="1"/>
    <col min="11" max="11" width="30.7109375" customWidth="1"/>
  </cols>
  <sheetData>
    <row r="1" spans="1:11" x14ac:dyDescent="0.25">
      <c r="A1" s="3" t="s">
        <v>0</v>
      </c>
      <c r="B1" t="s">
        <v>1</v>
      </c>
      <c r="C1" t="s">
        <v>2</v>
      </c>
      <c r="D1" t="s">
        <v>3</v>
      </c>
      <c r="E1" t="s">
        <v>4</v>
      </c>
      <c r="F1" t="s">
        <v>5</v>
      </c>
      <c r="G1" s="1" t="s">
        <v>6</v>
      </c>
      <c r="H1" s="1" t="s">
        <v>7</v>
      </c>
      <c r="I1" s="2" t="s">
        <v>8</v>
      </c>
      <c r="J1" s="4" t="s">
        <v>9</v>
      </c>
      <c r="K1" t="s">
        <v>10</v>
      </c>
    </row>
    <row r="2" spans="1:11" x14ac:dyDescent="0.25">
      <c r="A2" s="3" t="s">
        <v>11</v>
      </c>
      <c r="B2" t="s">
        <v>12</v>
      </c>
      <c r="C2" t="s">
        <v>13</v>
      </c>
      <c r="D2" t="s">
        <v>14</v>
      </c>
      <c r="E2" t="s">
        <v>15</v>
      </c>
      <c r="F2" t="s">
        <v>16</v>
      </c>
      <c r="G2" s="1">
        <v>46237</v>
      </c>
      <c r="H2" s="1">
        <v>46262</v>
      </c>
      <c r="I2" s="2">
        <v>1</v>
      </c>
      <c r="J2" s="4">
        <f>IF(Tasks[[#This Row],[Due]]="","",YEAR(Tasks[[#This Row],[Due]]))</f>
        <v>2026</v>
      </c>
      <c r="K2" t="s">
        <v>17</v>
      </c>
    </row>
    <row r="3" spans="1:11" x14ac:dyDescent="0.25">
      <c r="A3" s="3" t="s">
        <v>18</v>
      </c>
      <c r="B3" t="s">
        <v>19</v>
      </c>
      <c r="C3" t="s">
        <v>20</v>
      </c>
      <c r="D3" t="s">
        <v>21</v>
      </c>
      <c r="E3" t="s">
        <v>15</v>
      </c>
      <c r="F3" t="s">
        <v>16</v>
      </c>
      <c r="G3" s="1">
        <v>46252</v>
      </c>
      <c r="H3" s="1">
        <v>46269</v>
      </c>
      <c r="I3" s="2">
        <v>1</v>
      </c>
      <c r="J3" s="4">
        <f>IF(Tasks[[#This Row],[Due]]="","",YEAR(Tasks[[#This Row],[Due]]))</f>
        <v>2026</v>
      </c>
    </row>
    <row r="4" spans="1:11" x14ac:dyDescent="0.25">
      <c r="A4" s="3" t="s">
        <v>22</v>
      </c>
      <c r="B4" t="s">
        <v>23</v>
      </c>
      <c r="C4" t="s">
        <v>24</v>
      </c>
      <c r="D4" t="s">
        <v>25</v>
      </c>
      <c r="E4" t="s">
        <v>15</v>
      </c>
      <c r="F4" t="s">
        <v>26</v>
      </c>
      <c r="G4" s="1">
        <v>46257</v>
      </c>
      <c r="H4" s="1">
        <v>46276</v>
      </c>
      <c r="I4" s="2">
        <v>1</v>
      </c>
      <c r="J4" s="4">
        <f>IF(Tasks[[#This Row],[Due]]="","",YEAR(Tasks[[#This Row],[Due]]))</f>
        <v>2026</v>
      </c>
      <c r="K4" t="s">
        <v>27</v>
      </c>
    </row>
    <row r="5" spans="1:11" x14ac:dyDescent="0.25">
      <c r="A5" s="3" t="s">
        <v>28</v>
      </c>
      <c r="B5" t="s">
        <v>29</v>
      </c>
      <c r="C5" t="s">
        <v>30</v>
      </c>
      <c r="D5" t="s">
        <v>31</v>
      </c>
      <c r="E5" t="s">
        <v>15</v>
      </c>
      <c r="F5" t="s">
        <v>32</v>
      </c>
      <c r="G5" s="1">
        <v>46267</v>
      </c>
      <c r="H5" s="1">
        <v>46283</v>
      </c>
      <c r="I5" s="2">
        <v>1</v>
      </c>
      <c r="J5" s="4">
        <f>IF(Tasks[[#This Row],[Due]]="","",YEAR(Tasks[[#This Row],[Due]]))</f>
        <v>2026</v>
      </c>
    </row>
    <row r="6" spans="1:11" x14ac:dyDescent="0.25">
      <c r="A6" s="3" t="s">
        <v>33</v>
      </c>
      <c r="B6" t="s">
        <v>34</v>
      </c>
      <c r="C6" t="s">
        <v>35</v>
      </c>
      <c r="D6" t="s">
        <v>36</v>
      </c>
      <c r="E6" t="s">
        <v>15</v>
      </c>
      <c r="F6" t="s">
        <v>26</v>
      </c>
      <c r="G6" s="1">
        <v>46272</v>
      </c>
      <c r="H6" s="1">
        <v>46288</v>
      </c>
      <c r="I6" s="2">
        <v>1</v>
      </c>
      <c r="J6" s="4">
        <f>IF(Tasks[[#This Row],[Due]]="","",YEAR(Tasks[[#This Row],[Due]]))</f>
        <v>2026</v>
      </c>
    </row>
    <row r="7" spans="1:11" x14ac:dyDescent="0.25">
      <c r="A7" s="3" t="s">
        <v>37</v>
      </c>
      <c r="B7" t="s">
        <v>38</v>
      </c>
      <c r="C7" t="s">
        <v>13</v>
      </c>
      <c r="D7" t="s">
        <v>14</v>
      </c>
      <c r="E7" t="s">
        <v>39</v>
      </c>
      <c r="F7" t="s">
        <v>16</v>
      </c>
      <c r="G7" s="1">
        <v>46267</v>
      </c>
      <c r="H7" s="1">
        <v>46285</v>
      </c>
      <c r="I7" s="2">
        <v>0.7</v>
      </c>
      <c r="J7" s="4">
        <f>IF(Tasks[[#This Row],[Due]]="","",YEAR(Tasks[[#This Row],[Due]]))</f>
        <v>2026</v>
      </c>
      <c r="K7" t="s">
        <v>40</v>
      </c>
    </row>
    <row r="8" spans="1:11" x14ac:dyDescent="0.25">
      <c r="A8" s="3" t="s">
        <v>41</v>
      </c>
      <c r="B8" t="s">
        <v>42</v>
      </c>
      <c r="C8" t="s">
        <v>24</v>
      </c>
      <c r="D8" t="s">
        <v>25</v>
      </c>
      <c r="E8" t="s">
        <v>39</v>
      </c>
      <c r="F8" t="s">
        <v>26</v>
      </c>
      <c r="G8" s="1">
        <v>46269</v>
      </c>
      <c r="H8" s="1">
        <v>46289</v>
      </c>
      <c r="I8" s="2">
        <v>0.6</v>
      </c>
      <c r="J8" s="4">
        <f>IF(Tasks[[#This Row],[Due]]="","",YEAR(Tasks[[#This Row],[Due]]))</f>
        <v>2026</v>
      </c>
    </row>
    <row r="9" spans="1:11" x14ac:dyDescent="0.25">
      <c r="A9" s="3" t="s">
        <v>43</v>
      </c>
      <c r="B9" t="s">
        <v>44</v>
      </c>
      <c r="C9" t="s">
        <v>30</v>
      </c>
      <c r="D9" t="s">
        <v>31</v>
      </c>
      <c r="E9" t="s">
        <v>45</v>
      </c>
      <c r="F9" t="s">
        <v>16</v>
      </c>
      <c r="G9" s="1">
        <v>46277</v>
      </c>
      <c r="H9" s="1">
        <v>46291</v>
      </c>
      <c r="I9" s="2">
        <v>0.4</v>
      </c>
      <c r="J9" s="4">
        <f>IF(Tasks[[#This Row],[Due]]="","",YEAR(Tasks[[#This Row],[Due]]))</f>
        <v>2026</v>
      </c>
      <c r="K9" t="s">
        <v>46</v>
      </c>
    </row>
    <row r="10" spans="1:11" x14ac:dyDescent="0.25">
      <c r="A10" s="3" t="s">
        <v>47</v>
      </c>
      <c r="B10" t="s">
        <v>48</v>
      </c>
      <c r="C10" t="s">
        <v>20</v>
      </c>
      <c r="D10" t="s">
        <v>21</v>
      </c>
      <c r="E10" t="s">
        <v>39</v>
      </c>
      <c r="F10" t="s">
        <v>26</v>
      </c>
      <c r="G10" s="1">
        <v>46276</v>
      </c>
      <c r="H10" s="1">
        <v>46293</v>
      </c>
      <c r="I10" s="2">
        <v>0.8</v>
      </c>
      <c r="J10" s="4">
        <f>IF(Tasks[[#This Row],[Due]]="","",YEAR(Tasks[[#This Row],[Due]]))</f>
        <v>2026</v>
      </c>
    </row>
    <row r="11" spans="1:11" x14ac:dyDescent="0.25">
      <c r="A11" s="3" t="s">
        <v>49</v>
      </c>
      <c r="B11" t="s">
        <v>50</v>
      </c>
      <c r="C11" t="s">
        <v>35</v>
      </c>
      <c r="D11" t="s">
        <v>36</v>
      </c>
      <c r="E11" t="s">
        <v>51</v>
      </c>
      <c r="F11" t="s">
        <v>16</v>
      </c>
      <c r="G11" s="1">
        <v>46287</v>
      </c>
      <c r="H11" s="1">
        <v>46295</v>
      </c>
      <c r="I11" s="2">
        <v>0</v>
      </c>
      <c r="J11" s="4">
        <f>IF(Tasks[[#This Row],[Due]]="","",YEAR(Tasks[[#This Row],[Due]]))</f>
        <v>2026</v>
      </c>
    </row>
    <row r="12" spans="1:11" x14ac:dyDescent="0.25">
      <c r="A12" s="3" t="s">
        <v>52</v>
      </c>
      <c r="B12" t="s">
        <v>53</v>
      </c>
      <c r="C12" t="s">
        <v>54</v>
      </c>
      <c r="D12" t="s">
        <v>14</v>
      </c>
      <c r="E12" t="s">
        <v>39</v>
      </c>
      <c r="F12" t="s">
        <v>16</v>
      </c>
      <c r="G12" s="1">
        <v>46288</v>
      </c>
      <c r="H12" s="1">
        <v>46296</v>
      </c>
      <c r="I12" s="2">
        <v>0.5</v>
      </c>
      <c r="J12" s="4">
        <f>IF(Tasks[[#This Row],[Due]]="","",YEAR(Tasks[[#This Row],[Due]]))</f>
        <v>2026</v>
      </c>
    </row>
    <row r="13" spans="1:11" x14ac:dyDescent="0.25">
      <c r="A13" s="3" t="s">
        <v>55</v>
      </c>
      <c r="B13" t="s">
        <v>56</v>
      </c>
      <c r="C13" t="s">
        <v>24</v>
      </c>
      <c r="D13" t="s">
        <v>25</v>
      </c>
      <c r="E13" t="s">
        <v>45</v>
      </c>
      <c r="F13" t="s">
        <v>26</v>
      </c>
      <c r="G13" s="1">
        <v>46279</v>
      </c>
      <c r="H13" s="1">
        <v>46282</v>
      </c>
      <c r="I13" s="2">
        <v>0.3</v>
      </c>
      <c r="J13" s="4">
        <f>IF(Tasks[[#This Row],[Due]]="","",YEAR(Tasks[[#This Row],[Due]]))</f>
        <v>2026</v>
      </c>
      <c r="K13" t="s">
        <v>57</v>
      </c>
    </row>
    <row r="14" spans="1:11" x14ac:dyDescent="0.25">
      <c r="A14" s="3" t="s">
        <v>58</v>
      </c>
      <c r="B14" t="s">
        <v>59</v>
      </c>
      <c r="C14" t="s">
        <v>20</v>
      </c>
      <c r="D14" t="s">
        <v>21</v>
      </c>
      <c r="E14" t="s">
        <v>39</v>
      </c>
      <c r="F14" t="s">
        <v>26</v>
      </c>
      <c r="G14" s="1">
        <v>46290</v>
      </c>
      <c r="H14" s="1">
        <v>46297</v>
      </c>
      <c r="I14" s="2">
        <v>0.9</v>
      </c>
      <c r="J14" s="4">
        <f>IF(Tasks[[#This Row],[Due]]="","",YEAR(Tasks[[#This Row],[Due]]))</f>
        <v>2026</v>
      </c>
    </row>
    <row r="15" spans="1:11" x14ac:dyDescent="0.25">
      <c r="A15" s="3" t="s">
        <v>60</v>
      </c>
      <c r="B15" t="s">
        <v>61</v>
      </c>
      <c r="C15" t="s">
        <v>54</v>
      </c>
      <c r="D15" t="s">
        <v>14</v>
      </c>
      <c r="E15" t="s">
        <v>39</v>
      </c>
      <c r="F15" t="s">
        <v>32</v>
      </c>
      <c r="G15" s="1">
        <v>46291</v>
      </c>
      <c r="H15" s="1">
        <v>46298</v>
      </c>
      <c r="I15" s="2">
        <v>0.75</v>
      </c>
      <c r="J15" s="4">
        <f>IF(Tasks[[#This Row],[Due]]="","",YEAR(Tasks[[#This Row],[Due]]))</f>
        <v>2026</v>
      </c>
    </row>
    <row r="16" spans="1:11" x14ac:dyDescent="0.25">
      <c r="A16" s="3" t="s">
        <v>62</v>
      </c>
      <c r="B16" t="s">
        <v>63</v>
      </c>
      <c r="C16" t="s">
        <v>24</v>
      </c>
      <c r="D16" t="s">
        <v>25</v>
      </c>
      <c r="E16" t="s">
        <v>51</v>
      </c>
      <c r="F16" t="s">
        <v>16</v>
      </c>
      <c r="G16" s="1">
        <v>46295</v>
      </c>
      <c r="H16" s="1">
        <v>46299</v>
      </c>
      <c r="I16" s="2">
        <v>0</v>
      </c>
      <c r="J16" s="4">
        <f>IF(Tasks[[#This Row],[Due]]="","",YEAR(Tasks[[#This Row],[Due]]))</f>
        <v>2026</v>
      </c>
    </row>
    <row r="17" spans="1:11" x14ac:dyDescent="0.25">
      <c r="A17" s="3" t="s">
        <v>64</v>
      </c>
      <c r="B17" t="s">
        <v>65</v>
      </c>
      <c r="C17" t="s">
        <v>30</v>
      </c>
      <c r="D17" t="s">
        <v>31</v>
      </c>
      <c r="E17" t="s">
        <v>39</v>
      </c>
      <c r="F17" t="s">
        <v>26</v>
      </c>
      <c r="G17" s="1">
        <v>46285</v>
      </c>
      <c r="H17" s="1">
        <v>46300</v>
      </c>
      <c r="I17" s="2">
        <v>0.55000000000000004</v>
      </c>
      <c r="J17" s="4">
        <f>IF(Tasks[[#This Row],[Due]]="","",YEAR(Tasks[[#This Row],[Due]]))</f>
        <v>2026</v>
      </c>
    </row>
    <row r="18" spans="1:11" x14ac:dyDescent="0.25">
      <c r="A18" s="3" t="s">
        <v>66</v>
      </c>
      <c r="B18" t="s">
        <v>67</v>
      </c>
      <c r="C18" t="s">
        <v>35</v>
      </c>
      <c r="D18" t="s">
        <v>36</v>
      </c>
      <c r="E18" t="s">
        <v>39</v>
      </c>
      <c r="F18" t="s">
        <v>16</v>
      </c>
      <c r="G18" s="1">
        <v>46289</v>
      </c>
      <c r="H18" s="1">
        <v>46302</v>
      </c>
      <c r="I18" s="2">
        <v>0.35</v>
      </c>
      <c r="J18" s="4">
        <f>IF(Tasks[[#This Row],[Due]]="","",YEAR(Tasks[[#This Row],[Due]]))</f>
        <v>2026</v>
      </c>
    </row>
    <row r="19" spans="1:11" x14ac:dyDescent="0.25">
      <c r="A19" s="3" t="s">
        <v>68</v>
      </c>
      <c r="B19" t="s">
        <v>69</v>
      </c>
      <c r="C19" t="s">
        <v>13</v>
      </c>
      <c r="D19" t="s">
        <v>14</v>
      </c>
      <c r="E19" t="s">
        <v>51</v>
      </c>
      <c r="F19" t="s">
        <v>16</v>
      </c>
      <c r="G19" s="1">
        <v>46296</v>
      </c>
      <c r="H19" s="1">
        <v>46303</v>
      </c>
      <c r="I19" s="2">
        <v>0</v>
      </c>
      <c r="J19" s="4">
        <f>IF(Tasks[[#This Row],[Due]]="","",YEAR(Tasks[[#This Row],[Due]]))</f>
        <v>2026</v>
      </c>
    </row>
    <row r="20" spans="1:11" x14ac:dyDescent="0.25">
      <c r="A20" s="3" t="s">
        <v>70</v>
      </c>
      <c r="B20" t="s">
        <v>71</v>
      </c>
      <c r="C20" t="s">
        <v>24</v>
      </c>
      <c r="D20" t="s">
        <v>25</v>
      </c>
      <c r="E20" t="s">
        <v>15</v>
      </c>
      <c r="F20" t="s">
        <v>26</v>
      </c>
      <c r="G20" s="1">
        <v>46287</v>
      </c>
      <c r="H20" s="1">
        <v>46299</v>
      </c>
      <c r="I20" s="2">
        <v>1</v>
      </c>
      <c r="J20" s="4">
        <f>IF(Tasks[[#This Row],[Due]]="","",YEAR(Tasks[[#This Row],[Due]]))</f>
        <v>2026</v>
      </c>
      <c r="K20" t="s">
        <v>72</v>
      </c>
    </row>
    <row r="21" spans="1:11" x14ac:dyDescent="0.25">
      <c r="A21" s="3" t="s">
        <v>73</v>
      </c>
      <c r="B21" t="s">
        <v>74</v>
      </c>
      <c r="C21" t="s">
        <v>20</v>
      </c>
      <c r="D21" t="s">
        <v>21</v>
      </c>
      <c r="E21" t="s">
        <v>39</v>
      </c>
      <c r="F21" t="s">
        <v>16</v>
      </c>
      <c r="G21" s="1">
        <v>46283</v>
      </c>
      <c r="H21" s="1">
        <v>46304</v>
      </c>
      <c r="I21" s="2">
        <v>0.45</v>
      </c>
      <c r="J21" s="4">
        <f>IF(Tasks[[#This Row],[Due]]="","",YEAR(Tasks[[#This Row],[Due]]))</f>
        <v>2026</v>
      </c>
    </row>
    <row r="22" spans="1:11" x14ac:dyDescent="0.25">
      <c r="A22" s="3" t="s">
        <v>75</v>
      </c>
      <c r="B22" t="s">
        <v>76</v>
      </c>
      <c r="C22" t="s">
        <v>30</v>
      </c>
      <c r="D22" t="s">
        <v>31</v>
      </c>
      <c r="E22" t="s">
        <v>51</v>
      </c>
      <c r="F22" t="s">
        <v>26</v>
      </c>
      <c r="G22" s="1">
        <v>46297</v>
      </c>
      <c r="H22" s="1">
        <v>46305</v>
      </c>
      <c r="I22" s="2">
        <v>0</v>
      </c>
      <c r="J22" s="4">
        <f>IF(Tasks[[#This Row],[Due]]="","",YEAR(Tasks[[#This Row],[Due]]))</f>
        <v>2026</v>
      </c>
    </row>
    <row r="23" spans="1:11" x14ac:dyDescent="0.25">
      <c r="A23" s="3" t="s">
        <v>77</v>
      </c>
      <c r="B23" t="s">
        <v>78</v>
      </c>
      <c r="C23" t="s">
        <v>35</v>
      </c>
      <c r="D23" t="s">
        <v>36</v>
      </c>
      <c r="E23" t="s">
        <v>51</v>
      </c>
      <c r="F23" t="s">
        <v>32</v>
      </c>
      <c r="G23" s="1">
        <v>46298</v>
      </c>
      <c r="H23" s="1">
        <v>46306</v>
      </c>
      <c r="I23" s="2">
        <v>0</v>
      </c>
      <c r="J23" s="4">
        <f>IF(Tasks[[#This Row],[Due]]="","",YEAR(Tasks[[#This Row],[Due]]))</f>
        <v>2026</v>
      </c>
    </row>
    <row r="24" spans="1:11" x14ac:dyDescent="0.25">
      <c r="A24" s="3" t="s">
        <v>79</v>
      </c>
      <c r="B24" t="s">
        <v>80</v>
      </c>
      <c r="C24" t="s">
        <v>54</v>
      </c>
      <c r="D24" t="s">
        <v>14</v>
      </c>
      <c r="E24" t="s">
        <v>45</v>
      </c>
      <c r="F24" t="s">
        <v>16</v>
      </c>
      <c r="G24" s="1">
        <v>46292</v>
      </c>
      <c r="H24" s="1">
        <v>46307</v>
      </c>
      <c r="I24" s="2">
        <v>0.2</v>
      </c>
      <c r="J24" s="4">
        <f>IF(Tasks[[#This Row],[Due]]="","",YEAR(Tasks[[#This Row],[Due]]))</f>
        <v>2026</v>
      </c>
      <c r="K24" t="s">
        <v>81</v>
      </c>
    </row>
    <row r="25" spans="1:11" x14ac:dyDescent="0.25">
      <c r="A25" s="3" t="s">
        <v>82</v>
      </c>
      <c r="B25" t="s">
        <v>83</v>
      </c>
      <c r="C25" t="s">
        <v>24</v>
      </c>
      <c r="D25" t="s">
        <v>25</v>
      </c>
      <c r="E25" t="s">
        <v>39</v>
      </c>
      <c r="F25" t="s">
        <v>16</v>
      </c>
      <c r="G25" s="1">
        <v>46294</v>
      </c>
      <c r="H25" s="1">
        <v>46309</v>
      </c>
      <c r="I25" s="2">
        <v>0.25</v>
      </c>
      <c r="J25" s="4">
        <f>IF(Tasks[[#This Row],[Due]]="","",YEAR(Tasks[[#This Row],[Due]]))</f>
        <v>2026</v>
      </c>
    </row>
    <row r="26" spans="1:11" x14ac:dyDescent="0.25">
      <c r="A26" s="3" t="s">
        <v>84</v>
      </c>
      <c r="B26" t="s">
        <v>85</v>
      </c>
      <c r="C26" t="s">
        <v>13</v>
      </c>
      <c r="D26" t="s">
        <v>14</v>
      </c>
      <c r="E26" t="s">
        <v>39</v>
      </c>
      <c r="F26" t="s">
        <v>26</v>
      </c>
      <c r="G26" s="1">
        <v>46287</v>
      </c>
      <c r="H26" s="1">
        <v>46310</v>
      </c>
      <c r="I26" s="2">
        <v>0.4</v>
      </c>
      <c r="J26" s="4">
        <f>IF(Tasks[[#This Row],[Due]]="","",YEAR(Tasks[[#This Row],[Due]]))</f>
        <v>2026</v>
      </c>
    </row>
    <row r="27" spans="1:11" x14ac:dyDescent="0.25">
      <c r="A27" s="3" t="s">
        <v>86</v>
      </c>
      <c r="B27" t="s">
        <v>87</v>
      </c>
      <c r="C27" t="s">
        <v>30</v>
      </c>
      <c r="D27" t="s">
        <v>31</v>
      </c>
      <c r="E27" t="s">
        <v>39</v>
      </c>
      <c r="F27" t="s">
        <v>16</v>
      </c>
      <c r="G27" s="1">
        <v>46290</v>
      </c>
      <c r="H27" s="1">
        <v>46313</v>
      </c>
      <c r="I27" s="2">
        <v>0.3</v>
      </c>
      <c r="J27" s="4">
        <f>IF(Tasks[[#This Row],[Due]]="","",YEAR(Tasks[[#This Row],[Due]]))</f>
        <v>2026</v>
      </c>
    </row>
    <row r="28" spans="1:11" x14ac:dyDescent="0.25">
      <c r="A28" s="3" t="s">
        <v>88</v>
      </c>
      <c r="B28" t="s">
        <v>89</v>
      </c>
      <c r="C28" t="s">
        <v>20</v>
      </c>
      <c r="D28" t="s">
        <v>21</v>
      </c>
      <c r="E28" t="s">
        <v>51</v>
      </c>
      <c r="F28" t="s">
        <v>26</v>
      </c>
      <c r="G28" s="1">
        <v>46300</v>
      </c>
      <c r="H28" s="1">
        <v>46315</v>
      </c>
      <c r="I28" s="2">
        <v>0</v>
      </c>
      <c r="J28" s="4">
        <f>IF(Tasks[[#This Row],[Due]]="","",YEAR(Tasks[[#This Row],[Due]]))</f>
        <v>2026</v>
      </c>
    </row>
    <row r="29" spans="1:11" x14ac:dyDescent="0.25">
      <c r="A29" s="3" t="s">
        <v>90</v>
      </c>
      <c r="B29" t="s">
        <v>91</v>
      </c>
      <c r="C29" t="s">
        <v>35</v>
      </c>
      <c r="D29" t="s">
        <v>36</v>
      </c>
      <c r="E29" t="s">
        <v>39</v>
      </c>
      <c r="F29" t="s">
        <v>26</v>
      </c>
      <c r="G29" s="1">
        <v>46293</v>
      </c>
      <c r="H29" s="1">
        <v>46318</v>
      </c>
      <c r="I29" s="2">
        <v>0.15</v>
      </c>
      <c r="J29" s="4">
        <f>IF(Tasks[[#This Row],[Due]]="","",YEAR(Tasks[[#This Row],[Due]]))</f>
        <v>2026</v>
      </c>
    </row>
    <row r="30" spans="1:11" x14ac:dyDescent="0.25">
      <c r="A30" s="3" t="s">
        <v>92</v>
      </c>
      <c r="B30" t="s">
        <v>93</v>
      </c>
      <c r="C30" t="s">
        <v>54</v>
      </c>
      <c r="D30" t="s">
        <v>14</v>
      </c>
      <c r="E30" t="s">
        <v>51</v>
      </c>
      <c r="F30" t="s">
        <v>16</v>
      </c>
      <c r="G30" s="1">
        <v>46317</v>
      </c>
      <c r="H30" s="1">
        <v>46324</v>
      </c>
      <c r="I30" s="2">
        <v>0</v>
      </c>
      <c r="J30" s="4">
        <f>IF(Tasks[[#This Row],[Due]]="","",YEAR(Tasks[[#This Row],[Due]]))</f>
        <v>2026</v>
      </c>
    </row>
    <row r="31" spans="1:11" x14ac:dyDescent="0.25">
      <c r="A31" s="3" t="s">
        <v>94</v>
      </c>
      <c r="B31" t="s">
        <v>95</v>
      </c>
      <c r="C31" t="s">
        <v>24</v>
      </c>
      <c r="D31" t="s">
        <v>25</v>
      </c>
      <c r="E31" t="s">
        <v>39</v>
      </c>
      <c r="F31" t="s">
        <v>26</v>
      </c>
      <c r="G31" s="1">
        <v>46295</v>
      </c>
      <c r="H31" s="1">
        <v>46327</v>
      </c>
      <c r="I31" s="2">
        <v>0.2</v>
      </c>
      <c r="J31" s="4">
        <f>IF(Tasks[[#This Row],[Due]]="","",YEAR(Tasks[[#This Row],[Due]]))</f>
        <v>2026</v>
      </c>
    </row>
    <row r="32" spans="1:11" x14ac:dyDescent="0.25">
      <c r="A32" s="3" t="s">
        <v>96</v>
      </c>
      <c r="B32" t="s">
        <v>97</v>
      </c>
      <c r="C32" t="s">
        <v>30</v>
      </c>
      <c r="D32" t="s">
        <v>31</v>
      </c>
      <c r="E32" t="s">
        <v>45</v>
      </c>
      <c r="F32" t="s">
        <v>26</v>
      </c>
      <c r="G32" s="1">
        <v>46282</v>
      </c>
      <c r="H32" s="1">
        <v>46332</v>
      </c>
      <c r="I32" s="2">
        <v>0.1</v>
      </c>
      <c r="J32" s="4">
        <f>IF(Tasks[[#This Row],[Due]]="","",YEAR(Tasks[[#This Row],[Due]]))</f>
        <v>2026</v>
      </c>
      <c r="K32" t="s">
        <v>98</v>
      </c>
    </row>
    <row r="33" spans="1:11" x14ac:dyDescent="0.25">
      <c r="A33" s="3" t="s">
        <v>99</v>
      </c>
      <c r="B33" t="s">
        <v>100</v>
      </c>
      <c r="C33" t="s">
        <v>20</v>
      </c>
      <c r="D33" t="s">
        <v>21</v>
      </c>
      <c r="E33" t="s">
        <v>51</v>
      </c>
      <c r="F33" t="s">
        <v>16</v>
      </c>
      <c r="G33" s="1">
        <v>46307</v>
      </c>
      <c r="H33" s="1">
        <v>46339</v>
      </c>
      <c r="I33" s="2">
        <v>0</v>
      </c>
      <c r="J33" s="4">
        <f>IF(Tasks[[#This Row],[Due]]="","",YEAR(Tasks[[#This Row],[Due]]))</f>
        <v>2026</v>
      </c>
    </row>
    <row r="34" spans="1:11" x14ac:dyDescent="0.25">
      <c r="A34" s="3" t="s">
        <v>101</v>
      </c>
      <c r="B34" t="s">
        <v>102</v>
      </c>
      <c r="C34" t="s">
        <v>35</v>
      </c>
      <c r="D34" t="s">
        <v>36</v>
      </c>
      <c r="E34" t="s">
        <v>15</v>
      </c>
      <c r="F34" t="s">
        <v>32</v>
      </c>
      <c r="G34" s="1">
        <v>46285</v>
      </c>
      <c r="H34" s="1">
        <v>46311</v>
      </c>
      <c r="I34" s="2">
        <v>1</v>
      </c>
      <c r="J34" s="4">
        <f>IF(Tasks[[#This Row],[Due]]="","",YEAR(Tasks[[#This Row],[Due]]))</f>
        <v>2026</v>
      </c>
    </row>
    <row r="35" spans="1:11" x14ac:dyDescent="0.25">
      <c r="A35" s="3" t="s">
        <v>103</v>
      </c>
      <c r="B35" t="s">
        <v>104</v>
      </c>
      <c r="C35" t="s">
        <v>54</v>
      </c>
      <c r="D35" t="s">
        <v>14</v>
      </c>
      <c r="E35" t="s">
        <v>39</v>
      </c>
      <c r="F35" t="s">
        <v>26</v>
      </c>
      <c r="G35" s="1">
        <v>46291</v>
      </c>
      <c r="H35" s="1">
        <v>46345</v>
      </c>
      <c r="I35" s="2">
        <v>0.1</v>
      </c>
      <c r="J35" s="4">
        <f>IF(Tasks[[#This Row],[Due]]="","",YEAR(Tasks[[#This Row],[Due]]))</f>
        <v>2026</v>
      </c>
    </row>
    <row r="36" spans="1:11" x14ac:dyDescent="0.25">
      <c r="A36" s="3" t="s">
        <v>105</v>
      </c>
      <c r="B36" t="s">
        <v>106</v>
      </c>
      <c r="C36" t="s">
        <v>24</v>
      </c>
      <c r="D36" t="s">
        <v>25</v>
      </c>
      <c r="E36" t="s">
        <v>51</v>
      </c>
      <c r="F36" t="s">
        <v>32</v>
      </c>
      <c r="G36" s="1">
        <v>46311</v>
      </c>
      <c r="H36" s="1">
        <v>46353</v>
      </c>
      <c r="I36" s="2">
        <v>0</v>
      </c>
      <c r="J36" s="4">
        <f>IF(Tasks[[#This Row],[Due]]="","",YEAR(Tasks[[#This Row],[Due]]))</f>
        <v>2026</v>
      </c>
    </row>
    <row r="37" spans="1:11" x14ac:dyDescent="0.25">
      <c r="A37" s="3" t="s">
        <v>107</v>
      </c>
      <c r="B37" t="s">
        <v>108</v>
      </c>
      <c r="C37" t="s">
        <v>30</v>
      </c>
      <c r="D37" t="s">
        <v>31</v>
      </c>
      <c r="E37" t="s">
        <v>15</v>
      </c>
      <c r="F37" t="s">
        <v>26</v>
      </c>
      <c r="G37" s="1">
        <v>46262</v>
      </c>
      <c r="H37" s="1">
        <v>46279</v>
      </c>
      <c r="I37" s="2">
        <v>1</v>
      </c>
      <c r="J37" s="4">
        <f>IF(Tasks[[#This Row],[Due]]="","",YEAR(Tasks[[#This Row],[Due]]))</f>
        <v>2026</v>
      </c>
    </row>
    <row r="38" spans="1:11" x14ac:dyDescent="0.25">
      <c r="A38" s="3" t="s">
        <v>109</v>
      </c>
      <c r="B38" t="s">
        <v>110</v>
      </c>
      <c r="C38" t="s">
        <v>20</v>
      </c>
      <c r="D38" t="s">
        <v>21</v>
      </c>
      <c r="E38" t="s">
        <v>15</v>
      </c>
      <c r="F38" t="s">
        <v>16</v>
      </c>
      <c r="G38" s="1">
        <v>46277</v>
      </c>
      <c r="H38" s="1">
        <v>46292</v>
      </c>
      <c r="I38" s="2">
        <v>1</v>
      </c>
      <c r="J38" s="4">
        <f>IF(Tasks[[#This Row],[Due]]="","",YEAR(Tasks[[#This Row],[Due]]))</f>
        <v>2026</v>
      </c>
    </row>
    <row r="39" spans="1:11" x14ac:dyDescent="0.25">
      <c r="A39" s="3" t="s">
        <v>111</v>
      </c>
      <c r="B39" t="s">
        <v>112</v>
      </c>
      <c r="C39" t="s">
        <v>20</v>
      </c>
      <c r="D39" t="s">
        <v>21</v>
      </c>
      <c r="E39" t="s">
        <v>51</v>
      </c>
      <c r="F39" t="s">
        <v>16</v>
      </c>
      <c r="G39" s="1">
        <v>46357</v>
      </c>
      <c r="H39" s="1">
        <v>46392</v>
      </c>
      <c r="I39" s="2">
        <v>0</v>
      </c>
      <c r="J39" s="4">
        <f>IF(Tasks[[#This Row],[Due]]="","",YEAR(Tasks[[#This Row],[Due]]))</f>
        <v>2027</v>
      </c>
    </row>
    <row r="40" spans="1:11" x14ac:dyDescent="0.25">
      <c r="A40" s="3" t="s">
        <v>113</v>
      </c>
      <c r="B40" t="s">
        <v>114</v>
      </c>
      <c r="C40" t="s">
        <v>30</v>
      </c>
      <c r="D40" t="s">
        <v>31</v>
      </c>
      <c r="E40" t="s">
        <v>51</v>
      </c>
      <c r="F40" t="s">
        <v>32</v>
      </c>
      <c r="G40" s="1">
        <v>46367</v>
      </c>
      <c r="H40" s="1">
        <v>46397</v>
      </c>
      <c r="I40" s="2">
        <v>0</v>
      </c>
      <c r="J40" s="4">
        <f>IF(Tasks[[#This Row],[Due]]="","",YEAR(Tasks[[#This Row],[Due]]))</f>
        <v>2027</v>
      </c>
    </row>
    <row r="41" spans="1:11" x14ac:dyDescent="0.25">
      <c r="A41" s="3" t="s">
        <v>115</v>
      </c>
      <c r="B41" t="s">
        <v>116</v>
      </c>
      <c r="C41" t="s">
        <v>13</v>
      </c>
      <c r="D41" t="s">
        <v>14</v>
      </c>
      <c r="E41" t="s">
        <v>51</v>
      </c>
      <c r="F41" t="s">
        <v>26</v>
      </c>
      <c r="G41" s="1">
        <v>46362</v>
      </c>
      <c r="H41" s="1">
        <v>46402</v>
      </c>
      <c r="I41" s="2">
        <v>0</v>
      </c>
      <c r="J41" s="4">
        <f>IF(Tasks[[#This Row],[Due]]="","",YEAR(Tasks[[#This Row],[Due]]))</f>
        <v>2027</v>
      </c>
    </row>
    <row r="42" spans="1:11" x14ac:dyDescent="0.25">
      <c r="A42" s="3" t="s">
        <v>117</v>
      </c>
      <c r="B42" t="s">
        <v>118</v>
      </c>
      <c r="C42" t="s">
        <v>35</v>
      </c>
      <c r="D42" t="s">
        <v>36</v>
      </c>
      <c r="E42" t="s">
        <v>51</v>
      </c>
      <c r="F42" t="s">
        <v>26</v>
      </c>
      <c r="G42" s="1">
        <v>46377</v>
      </c>
      <c r="H42" s="1">
        <v>46415</v>
      </c>
      <c r="I42" s="2">
        <v>0</v>
      </c>
      <c r="J42" s="4">
        <f>IF(Tasks[[#This Row],[Due]]="","",YEAR(Tasks[[#This Row],[Due]]))</f>
        <v>2027</v>
      </c>
    </row>
    <row r="43" spans="1:11" x14ac:dyDescent="0.25">
      <c r="A43" s="3" t="s">
        <v>119</v>
      </c>
      <c r="B43" t="s">
        <v>120</v>
      </c>
      <c r="C43" t="s">
        <v>24</v>
      </c>
      <c r="D43" t="s">
        <v>25</v>
      </c>
      <c r="E43" t="s">
        <v>45</v>
      </c>
      <c r="F43" t="s">
        <v>32</v>
      </c>
      <c r="G43" s="1">
        <v>46327</v>
      </c>
      <c r="H43" s="1">
        <v>46422</v>
      </c>
      <c r="I43" s="2">
        <v>0.05</v>
      </c>
      <c r="J43" s="4">
        <f>IF(Tasks[[#This Row],[Due]]="","",YEAR(Tasks[[#This Row],[Due]]))</f>
        <v>2027</v>
      </c>
      <c r="K43" t="s">
        <v>121</v>
      </c>
    </row>
  </sheetData>
  <conditionalFormatting sqref="H1:H1048576">
    <cfRule type="expression" dxfId="12" priority="1" stopIfTrue="1">
      <formula>AND(ISNUMBER($H1),$H1&lt;TODAY(),$E1&lt;&gt;"Done")</formula>
    </cfRule>
    <cfRule type="expression" dxfId="11" priority="2" stopIfTrue="1">
      <formula>AND(ISNUMBER($H1),$H1&gt;=TODAY(),$H1&lt;=TODAY()+6,$E1&lt;&gt;"Done")</formula>
    </cfRule>
  </conditionalFormatting>
  <conditionalFormatting sqref="B1:B1048576">
    <cfRule type="expression" dxfId="10" priority="3" stopIfTrue="1">
      <formula>AND(ISNUMBER($H1),$H1&lt;TODAY(),$E1&lt;&gt;"Done")</formula>
    </cfRule>
  </conditionalFormatting>
  <conditionalFormatting sqref="I1:I1048576">
    <cfRule type="dataBar" priority="4">
      <dataBar>
        <cfvo type="num" val="0"/>
        <cfvo type="num" val="1"/>
        <color rgb="FF7FB2E5"/>
      </dataBar>
      <extLst>
        <ext xmlns:x14="http://schemas.microsoft.com/office/spreadsheetml/2009/9/main" uri="{B025F937-C7B1-47D3-B67F-A62EFF666E3E}">
          <x14:id>{1FDDE4AB-3092-4AC6-9168-59577D9F5FC8}</x14:id>
        </ext>
      </extLst>
    </cfRule>
  </conditionalFormatting>
  <dataValidations count="3">
    <dataValidation type="list" allowBlank="1" showInputMessage="1" showErrorMessage="1" errorTitle="Status" error="Pick one of: Not started, In progress, Blocked, Done" sqref="E2:E43" xr:uid="{133A91FC-F3FD-49C7-82A5-59021248B25F}">
      <formula1>"Not started,In progress,Blocked,Done"</formula1>
    </dataValidation>
    <dataValidation type="list" allowBlank="1" showInputMessage="1" showErrorMessage="1" errorTitle="Priority" error="Pick one of: High, Medium, Low" sqref="F2:F43" xr:uid="{6DA95F94-2607-4679-A5DD-F0786E94DB1B}">
      <formula1>"High,Medium,Low"</formula1>
    </dataValidation>
    <dataValidation type="decimal" allowBlank="1" showInputMessage="1" showErrorMessage="1" errorTitle="% Complete" error="Type a percentage from 0% to 100%." sqref="I2:I43" xr:uid="{A2E7D993-32A2-429A-A9C7-DD9D343185E9}">
      <formula1>0</formula1>
      <formula2>1</formula2>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FDDE4AB-3092-4AC6-9168-59577D9F5FC8}">
            <x14:dataBar minLength="0" maxLength="100" gradient="0" negativeBarColorSameAsPositive="1" axisPosition="none">
              <x14:cfvo type="num">
                <xm:f>0</xm:f>
              </x14:cfvo>
              <x14:cfvo type="num">
                <xm:f>1</xm:f>
              </x14:cfvo>
            </x14:dataBar>
          </x14:cfRule>
          <xm:sqref>I1:I1048576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97071-473B-4F9C-A6DF-06E068318C4F}">
  <dimension ref="B2:C30"/>
  <sheetViews>
    <sheetView showGridLines="0" workbookViewId="0"/>
  </sheetViews>
  <sheetFormatPr defaultRowHeight="15" x14ac:dyDescent="0.25"/>
  <cols>
    <col min="1" max="1" width="2.7109375" customWidth="1"/>
    <col min="2" max="2" width="4.7109375" customWidth="1"/>
    <col min="3" max="3" width="112.7109375" customWidth="1"/>
  </cols>
  <sheetData>
    <row r="2" spans="2:3" ht="27.95" customHeight="1" x14ac:dyDescent="0.35">
      <c r="B2" s="58" t="s">
        <v>152</v>
      </c>
    </row>
    <row r="3" spans="2:3" ht="20.100000000000001" customHeight="1" x14ac:dyDescent="0.25">
      <c r="B3" s="3"/>
      <c r="C3" s="57" t="s">
        <v>153</v>
      </c>
    </row>
    <row r="4" spans="2:3" ht="20.100000000000001" customHeight="1" x14ac:dyDescent="0.25">
      <c r="B4" s="3"/>
    </row>
    <row r="5" spans="2:3" ht="20.100000000000001" customHeight="1" x14ac:dyDescent="0.3">
      <c r="B5" s="59" t="s">
        <v>154</v>
      </c>
    </row>
    <row r="6" spans="2:3" ht="20.100000000000001" customHeight="1" x14ac:dyDescent="0.25">
      <c r="B6" s="60">
        <v>1</v>
      </c>
      <c r="C6" t="s">
        <v>155</v>
      </c>
    </row>
    <row r="7" spans="2:3" ht="20.100000000000001" customHeight="1" x14ac:dyDescent="0.25">
      <c r="B7" s="60">
        <v>2</v>
      </c>
      <c r="C7" t="s">
        <v>156</v>
      </c>
    </row>
    <row r="8" spans="2:3" ht="20.100000000000001" customHeight="1" x14ac:dyDescent="0.25">
      <c r="B8" s="60">
        <v>3</v>
      </c>
      <c r="C8" t="s">
        <v>157</v>
      </c>
    </row>
    <row r="9" spans="2:3" ht="20.100000000000001" customHeight="1" x14ac:dyDescent="0.25">
      <c r="B9" s="3"/>
    </row>
    <row r="10" spans="2:3" ht="20.100000000000001" customHeight="1" x14ac:dyDescent="0.3">
      <c r="B10" s="59" t="s">
        <v>158</v>
      </c>
    </row>
    <row r="11" spans="2:3" ht="20.100000000000001" customHeight="1" x14ac:dyDescent="0.25">
      <c r="B11" s="60">
        <v>4</v>
      </c>
      <c r="C11" t="s">
        <v>159</v>
      </c>
    </row>
    <row r="12" spans="2:3" ht="20.100000000000001" customHeight="1" x14ac:dyDescent="0.25">
      <c r="B12" s="60">
        <v>5</v>
      </c>
      <c r="C12" t="s">
        <v>160</v>
      </c>
    </row>
    <row r="13" spans="2:3" ht="20.100000000000001" customHeight="1" x14ac:dyDescent="0.25">
      <c r="B13" s="60">
        <v>6</v>
      </c>
      <c r="C13" t="s">
        <v>161</v>
      </c>
    </row>
    <row r="14" spans="2:3" ht="20.100000000000001" customHeight="1" x14ac:dyDescent="0.25">
      <c r="B14" s="60">
        <v>7</v>
      </c>
      <c r="C14" t="s">
        <v>162</v>
      </c>
    </row>
    <row r="15" spans="2:3" ht="20.100000000000001" customHeight="1" x14ac:dyDescent="0.25">
      <c r="B15" s="3"/>
    </row>
    <row r="16" spans="2:3" ht="20.100000000000001" customHeight="1" x14ac:dyDescent="0.3">
      <c r="B16" s="59" t="s">
        <v>163</v>
      </c>
    </row>
    <row r="17" spans="2:3" ht="20.100000000000001" customHeight="1" x14ac:dyDescent="0.25">
      <c r="B17" s="60">
        <v>8</v>
      </c>
      <c r="C17" t="s">
        <v>164</v>
      </c>
    </row>
    <row r="18" spans="2:3" ht="20.100000000000001" customHeight="1" x14ac:dyDescent="0.25">
      <c r="B18" s="60">
        <v>9</v>
      </c>
      <c r="C18" t="s">
        <v>165</v>
      </c>
    </row>
    <row r="19" spans="2:3" ht="20.100000000000001" customHeight="1" x14ac:dyDescent="0.25">
      <c r="B19" s="60">
        <v>10</v>
      </c>
      <c r="C19" t="s">
        <v>166</v>
      </c>
    </row>
    <row r="20" spans="2:3" x14ac:dyDescent="0.25">
      <c r="B20" s="3"/>
    </row>
    <row r="21" spans="2:3" x14ac:dyDescent="0.25">
      <c r="B21" s="3"/>
    </row>
    <row r="22" spans="2:3" x14ac:dyDescent="0.25">
      <c r="B22" s="3"/>
    </row>
    <row r="23" spans="2:3" x14ac:dyDescent="0.25">
      <c r="B23" s="3"/>
    </row>
    <row r="24" spans="2:3" x14ac:dyDescent="0.25">
      <c r="B24" s="3"/>
    </row>
    <row r="25" spans="2:3" x14ac:dyDescent="0.25">
      <c r="B25" s="3"/>
    </row>
    <row r="26" spans="2:3" x14ac:dyDescent="0.25">
      <c r="B26" s="3"/>
    </row>
    <row r="27" spans="2:3" x14ac:dyDescent="0.25">
      <c r="B27" s="3"/>
    </row>
    <row r="28" spans="2:3" x14ac:dyDescent="0.25">
      <c r="B28" s="3"/>
    </row>
    <row r="29" spans="2:3" x14ac:dyDescent="0.25">
      <c r="B29" s="3"/>
    </row>
    <row r="30" spans="2:3" x14ac:dyDescent="0.25">
      <c r="B3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0AE33-E0AE-4D13-819F-52BA89674BA2}">
  <sheetPr>
    <tabColor rgb="FFB8C0CC"/>
  </sheetPr>
  <dimension ref="A1:Q34"/>
  <sheetViews>
    <sheetView workbookViewId="0"/>
  </sheetViews>
  <sheetFormatPr defaultRowHeight="15" x14ac:dyDescent="0.25"/>
  <cols>
    <col min="1" max="1" width="22.7109375" customWidth="1"/>
    <col min="2" max="2" width="3.7109375" customWidth="1"/>
    <col min="3" max="3" width="16.7109375" customWidth="1"/>
    <col min="4" max="4" width="3.7109375" customWidth="1"/>
    <col min="5" max="5" width="14.7109375" customWidth="1"/>
    <col min="6" max="6" width="3.7109375" customWidth="1"/>
    <col min="7" max="7" width="5.7109375" customWidth="1"/>
    <col min="8" max="8" width="24.7109375" customWidth="1"/>
    <col min="9" max="9" width="11.7109375" customWidth="1"/>
    <col min="10" max="10" width="3.7109375" customWidth="1"/>
    <col min="11" max="11" width="5.7109375" customWidth="1"/>
    <col min="12" max="12" width="18.7109375" customWidth="1"/>
    <col min="13" max="13" width="11.7109375" customWidth="1"/>
    <col min="14" max="14" width="3.7109375" customWidth="1"/>
    <col min="15" max="15" width="5.7109375" customWidth="1"/>
    <col min="16" max="16" width="20.7109375" customWidth="1"/>
    <col min="17" max="17" width="11.7109375" customWidth="1"/>
  </cols>
  <sheetData>
    <row r="1" spans="1:17" x14ac:dyDescent="0.25">
      <c r="A1" s="5" t="s">
        <v>122</v>
      </c>
    </row>
    <row r="2" spans="1:17" x14ac:dyDescent="0.25">
      <c r="A2" s="6" t="s">
        <v>123</v>
      </c>
    </row>
    <row r="3" spans="1:17" x14ac:dyDescent="0.25">
      <c r="A3" s="7" t="s">
        <v>124</v>
      </c>
      <c r="C3" s="7" t="s">
        <v>126</v>
      </c>
      <c r="E3" s="7" t="s">
        <v>127</v>
      </c>
      <c r="G3" s="7" t="s">
        <v>128</v>
      </c>
      <c r="H3" s="7" t="s">
        <v>129</v>
      </c>
      <c r="I3" s="7" t="s">
        <v>130</v>
      </c>
      <c r="K3" s="7" t="s">
        <v>128</v>
      </c>
      <c r="L3" s="7" t="s">
        <v>131</v>
      </c>
      <c r="M3" s="7" t="s">
        <v>130</v>
      </c>
      <c r="O3" s="7" t="s">
        <v>128</v>
      </c>
      <c r="P3" s="7" t="s">
        <v>132</v>
      </c>
      <c r="Q3" s="7" t="s">
        <v>130</v>
      </c>
    </row>
    <row r="4" spans="1:17" x14ac:dyDescent="0.25">
      <c r="A4" t="s">
        <v>125</v>
      </c>
      <c r="C4" t="s">
        <v>125</v>
      </c>
      <c r="E4" s="3" t="s">
        <v>125</v>
      </c>
      <c r="G4">
        <v>1</v>
      </c>
      <c r="H4" s="8">
        <f ca="1">IFERROR(_xlfn.AGGREGATE(15,6,SortKey/CondFocus,$G4),"")</f>
        <v>46297.00013</v>
      </c>
      <c r="I4">
        <f t="shared" ref="I4:I11" ca="1" si="0">IF(H4="","",ROUND(MOD(H4,1)*100000,0))</f>
        <v>13</v>
      </c>
      <c r="K4">
        <v>1</v>
      </c>
      <c r="L4" s="8">
        <f ca="1">IFERROR(_xlfn.AGGREGATE(15,6,SortKey/CondUpcoming,$K4),"")</f>
        <v>46297.00013</v>
      </c>
      <c r="M4">
        <f t="shared" ref="M4:M8" ca="1" si="1">IF(L4="","",ROUND(MOD(L4,1)*100000,0))</f>
        <v>13</v>
      </c>
      <c r="O4">
        <v>1</v>
      </c>
      <c r="P4" s="8">
        <f>IFERROR(_xlfn.AGGREGATE(15,6,SortKeyView/InScope,$O4),"")</f>
        <v>46282.000119999997</v>
      </c>
      <c r="Q4">
        <f t="shared" ref="Q4:Q18" si="2">IF(P4="","",ROUND(MOD(P4,1)*100000,0))</f>
        <v>12</v>
      </c>
    </row>
    <row r="5" spans="1:17" x14ac:dyDescent="0.25">
      <c r="A5" t="str">
        <f>IFERROR(INDEX(Tasks[Owner],MATCH(_xlfn.AGGREGATE(15,6,OwnerRank/(COUNTIF(A$4:A4,Tasks[Owner])=0)/(Tasks[Owner]&lt;&gt;""),1),OwnerRank,0)),"")</f>
        <v>Avery K.</v>
      </c>
      <c r="C5" t="s">
        <v>51</v>
      </c>
      <c r="E5" s="3">
        <f>IFERROR(_xlfn.AGGREGATE(15,6,Tasks[Year]/(COUNTIF(E$4:E4,Tasks[Year])=0),1),"")</f>
        <v>2026</v>
      </c>
      <c r="G5">
        <v>2</v>
      </c>
      <c r="H5" s="8">
        <f ca="1">IFERROR(_xlfn.AGGREGATE(15,6,SortKey/CondFocus,$G5),"")</f>
        <v>46298.000139999996</v>
      </c>
      <c r="I5">
        <f t="shared" ca="1" si="0"/>
        <v>14</v>
      </c>
      <c r="K5">
        <v>2</v>
      </c>
      <c r="L5" s="8">
        <f ca="1">IFERROR(_xlfn.AGGREGATE(15,6,SortKey/CondUpcoming,$K5),"")</f>
        <v>46298.000139999996</v>
      </c>
      <c r="M5">
        <f t="shared" ca="1" si="1"/>
        <v>14</v>
      </c>
      <c r="O5">
        <v>2</v>
      </c>
      <c r="P5" s="8">
        <f>IFERROR(_xlfn.AGGREGATE(15,6,SortKeyView/InScope,$O5),"")</f>
        <v>46285.000059999998</v>
      </c>
      <c r="Q5">
        <f t="shared" si="2"/>
        <v>6</v>
      </c>
    </row>
    <row r="6" spans="1:17" x14ac:dyDescent="0.25">
      <c r="A6" t="str">
        <f>IFERROR(INDEX(Tasks[Owner],MATCH(_xlfn.AGGREGATE(15,6,OwnerRank/(COUNTIF(A$4:A5,Tasks[Owner])=0)/(Tasks[Owner]&lt;&gt;""),1),OwnerRank,0)),"")</f>
        <v>Casey L.</v>
      </c>
      <c r="C6" t="s">
        <v>39</v>
      </c>
      <c r="E6" s="3">
        <f>IFERROR(_xlfn.AGGREGATE(15,6,Tasks[Year]/(COUNTIF(E$4:E5,Tasks[Year])=0),1),"")</f>
        <v>2027</v>
      </c>
      <c r="G6">
        <v>3</v>
      </c>
      <c r="H6" s="8">
        <f ca="1">IFERROR(_xlfn.AGGREGATE(15,6,SortKey/CondFocus,$G6),"")</f>
        <v>46299.00015</v>
      </c>
      <c r="I6">
        <f t="shared" ca="1" si="0"/>
        <v>15</v>
      </c>
      <c r="K6">
        <v>3</v>
      </c>
      <c r="L6" s="8">
        <f ca="1">IFERROR(_xlfn.AGGREGATE(15,6,SortKey/CondUpcoming,$K6),"")</f>
        <v>46299.00015</v>
      </c>
      <c r="M6">
        <f t="shared" ca="1" si="1"/>
        <v>15</v>
      </c>
      <c r="O6">
        <v>3</v>
      </c>
      <c r="P6" s="8">
        <f>IFERROR(_xlfn.AGGREGATE(15,6,SortKeyView/InScope,$O6),"")</f>
        <v>46289.000070000002</v>
      </c>
      <c r="Q6">
        <f t="shared" si="2"/>
        <v>7</v>
      </c>
    </row>
    <row r="7" spans="1:17" x14ac:dyDescent="0.25">
      <c r="A7" t="str">
        <f>IFERROR(INDEX(Tasks[Owner],MATCH(_xlfn.AGGREGATE(15,6,OwnerRank/(COUNTIF(A$4:A6,Tasks[Owner])=0)/(Tasks[Owner]&lt;&gt;""),1),OwnerRank,0)),"")</f>
        <v>Jordan M.</v>
      </c>
      <c r="C7" t="s">
        <v>45</v>
      </c>
      <c r="E7" s="3" t="str">
        <f>IFERROR(_xlfn.AGGREGATE(15,6,Tasks[Year]/(COUNTIF(E$4:E6,Tasks[Year])=0),1),"")</f>
        <v/>
      </c>
      <c r="G7">
        <v>4</v>
      </c>
      <c r="H7" s="8">
        <f ca="1">IFERROR(_xlfn.AGGREGATE(15,6,SortKey/CondFocus,$G7),"")</f>
        <v>46300.000160000003</v>
      </c>
      <c r="I7">
        <f t="shared" ca="1" si="0"/>
        <v>16</v>
      </c>
      <c r="K7">
        <v>4</v>
      </c>
      <c r="L7" s="8">
        <f ca="1">IFERROR(_xlfn.AGGREGATE(15,6,SortKey/CondUpcoming,$K7),"")</f>
        <v>46300.000160000003</v>
      </c>
      <c r="M7">
        <f t="shared" ca="1" si="1"/>
        <v>16</v>
      </c>
      <c r="O7">
        <v>4</v>
      </c>
      <c r="P7" s="8">
        <f>IFERROR(_xlfn.AGGREGATE(15,6,SortKeyView/InScope,$O7),"")</f>
        <v>46291.000079999998</v>
      </c>
      <c r="Q7">
        <f t="shared" si="2"/>
        <v>8</v>
      </c>
    </row>
    <row r="8" spans="1:17" x14ac:dyDescent="0.25">
      <c r="A8" t="str">
        <f>IFERROR(INDEX(Tasks[Owner],MATCH(_xlfn.AGGREGATE(15,6,OwnerRank/(COUNTIF(A$4:A7,Tasks[Owner])=0)/(Tasks[Owner]&lt;&gt;""),1),OwnerRank,0)),"")</f>
        <v>Morgan T.</v>
      </c>
      <c r="C8" t="s">
        <v>15</v>
      </c>
      <c r="E8" s="3" t="str">
        <f>IFERROR(_xlfn.AGGREGATE(15,6,Tasks[Year]/(COUNTIF(E$4:E7,Tasks[Year])=0),1),"")</f>
        <v/>
      </c>
      <c r="G8">
        <v>5</v>
      </c>
      <c r="H8" s="8">
        <f ca="1">IFERROR(_xlfn.AGGREGATE(15,6,SortKey/CondFocus,$G8),"")</f>
        <v>46302.000169999999</v>
      </c>
      <c r="I8">
        <f t="shared" ca="1" si="0"/>
        <v>17</v>
      </c>
      <c r="K8">
        <v>5</v>
      </c>
      <c r="L8" s="8">
        <f ca="1">IFERROR(_xlfn.AGGREGATE(15,6,SortKey/CondUpcoming,$K8),"")</f>
        <v>46302.000169999999</v>
      </c>
      <c r="M8">
        <f t="shared" ca="1" si="1"/>
        <v>17</v>
      </c>
      <c r="O8">
        <v>5</v>
      </c>
      <c r="P8" s="8">
        <f>IFERROR(_xlfn.AGGREGATE(15,6,SortKeyView/InScope,$O8),"")</f>
        <v>46293.000090000001</v>
      </c>
      <c r="Q8">
        <f t="shared" si="2"/>
        <v>9</v>
      </c>
    </row>
    <row r="9" spans="1:17" x14ac:dyDescent="0.25">
      <c r="A9" t="str">
        <f>IFERROR(INDEX(Tasks[Owner],MATCH(_xlfn.AGGREGATE(15,6,OwnerRank/(COUNTIF(A$4:A8,Tasks[Owner])=0)/(Tasks[Owner]&lt;&gt;""),1),OwnerRank,0)),"")</f>
        <v>Riley P.</v>
      </c>
      <c r="E9" s="3" t="str">
        <f>IFERROR(_xlfn.AGGREGATE(15,6,Tasks[Year]/(COUNTIF(E$4:E8,Tasks[Year])=0),1),"")</f>
        <v/>
      </c>
      <c r="G9">
        <v>6</v>
      </c>
      <c r="H9" s="8">
        <f ca="1">IFERROR(_xlfn.AGGREGATE(15,6,SortKey/CondFocus,$G9),"")</f>
        <v>46303.000180000003</v>
      </c>
      <c r="I9">
        <f t="shared" ca="1" si="0"/>
        <v>18</v>
      </c>
      <c r="O9">
        <v>6</v>
      </c>
      <c r="P9" s="8">
        <f>IFERROR(_xlfn.AGGREGATE(15,6,SortKeyView/InScope,$O9),"")</f>
        <v>46295.000099999997</v>
      </c>
      <c r="Q9">
        <f t="shared" si="2"/>
        <v>10</v>
      </c>
    </row>
    <row r="10" spans="1:17" x14ac:dyDescent="0.25">
      <c r="A10" t="str">
        <f>IFERROR(INDEX(Tasks[Owner],MATCH(_xlfn.AGGREGATE(15,6,OwnerRank/(COUNTIF(A$4:A9,Tasks[Owner])=0)/(Tasks[Owner]&lt;&gt;""),1),OwnerRank,0)),"")</f>
        <v>Taylor R.</v>
      </c>
      <c r="E10" s="3" t="str">
        <f>IFERROR(_xlfn.AGGREGATE(15,6,Tasks[Year]/(COUNTIF(E$4:E9,Tasks[Year])=0),1),"")</f>
        <v/>
      </c>
      <c r="G10">
        <v>7</v>
      </c>
      <c r="H10" s="8" t="str">
        <f ca="1">IFERROR(_xlfn.AGGREGATE(15,6,SortKey/CondFocus,$G10),"")</f>
        <v/>
      </c>
      <c r="I10" t="str">
        <f t="shared" ca="1" si="0"/>
        <v/>
      </c>
      <c r="O10">
        <v>7</v>
      </c>
      <c r="P10" s="8">
        <f>IFERROR(_xlfn.AGGREGATE(15,6,SortKeyView/InScope,$O10),"")</f>
        <v>46296.000110000001</v>
      </c>
      <c r="Q10">
        <f t="shared" si="2"/>
        <v>11</v>
      </c>
    </row>
    <row r="11" spans="1:17" x14ac:dyDescent="0.25">
      <c r="A11" t="str">
        <f>IFERROR(INDEX(Tasks[Owner],MATCH(_xlfn.AGGREGATE(15,6,OwnerRank/(COUNTIF(A$4:A10,Tasks[Owner])=0)/(Tasks[Owner]&lt;&gt;""),1),OwnerRank,0)),"")</f>
        <v/>
      </c>
      <c r="E11" s="3" t="str">
        <f>IFERROR(_xlfn.AGGREGATE(15,6,Tasks[Year]/(COUNTIF(E$4:E10,Tasks[Year])=0),1),"")</f>
        <v/>
      </c>
      <c r="G11">
        <v>8</v>
      </c>
      <c r="H11" s="8" t="str">
        <f ca="1">IFERROR(_xlfn.AGGREGATE(15,6,SortKey/CondFocus,$G11),"")</f>
        <v/>
      </c>
      <c r="I11" t="str">
        <f t="shared" ca="1" si="0"/>
        <v/>
      </c>
      <c r="O11">
        <v>8</v>
      </c>
      <c r="P11" s="8">
        <f>IFERROR(_xlfn.AGGREGATE(15,6,SortKeyView/InScope,$O11),"")</f>
        <v>46297.00013</v>
      </c>
      <c r="Q11">
        <f t="shared" si="2"/>
        <v>13</v>
      </c>
    </row>
    <row r="12" spans="1:17" x14ac:dyDescent="0.25">
      <c r="A12" t="str">
        <f>IFERROR(INDEX(Tasks[Owner],MATCH(_xlfn.AGGREGATE(15,6,OwnerRank/(COUNTIF(A$4:A11,Tasks[Owner])=0)/(Tasks[Owner]&lt;&gt;""),1),OwnerRank,0)),"")</f>
        <v/>
      </c>
      <c r="E12" s="3" t="str">
        <f>IFERROR(_xlfn.AGGREGATE(15,6,Tasks[Year]/(COUNTIF(E$4:E11,Tasks[Year])=0),1),"")</f>
        <v/>
      </c>
      <c r="O12">
        <v>9</v>
      </c>
      <c r="P12" s="8">
        <f>IFERROR(_xlfn.AGGREGATE(15,6,SortKeyView/InScope,$O12),"")</f>
        <v>46298.000139999996</v>
      </c>
      <c r="Q12">
        <f t="shared" si="2"/>
        <v>14</v>
      </c>
    </row>
    <row r="13" spans="1:17" x14ac:dyDescent="0.25">
      <c r="A13" t="str">
        <f>IFERROR(INDEX(Tasks[Owner],MATCH(_xlfn.AGGREGATE(15,6,OwnerRank/(COUNTIF(A$4:A12,Tasks[Owner])=0)/(Tasks[Owner]&lt;&gt;""),1),OwnerRank,0)),"")</f>
        <v/>
      </c>
      <c r="E13" s="3" t="str">
        <f>IFERROR(_xlfn.AGGREGATE(15,6,Tasks[Year]/(COUNTIF(E$4:E12,Tasks[Year])=0),1),"")</f>
        <v/>
      </c>
      <c r="O13">
        <v>10</v>
      </c>
      <c r="P13" s="8">
        <f>IFERROR(_xlfn.AGGREGATE(15,6,SortKeyView/InScope,$O13),"")</f>
        <v>46299.00015</v>
      </c>
      <c r="Q13">
        <f t="shared" si="2"/>
        <v>15</v>
      </c>
    </row>
    <row r="14" spans="1:17" x14ac:dyDescent="0.25">
      <c r="A14" t="str">
        <f>IFERROR(INDEX(Tasks[Owner],MATCH(_xlfn.AGGREGATE(15,6,OwnerRank/(COUNTIF(A$4:A13,Tasks[Owner])=0)/(Tasks[Owner]&lt;&gt;""),1),OwnerRank,0)),"")</f>
        <v/>
      </c>
      <c r="E14" s="3" t="str">
        <f>IFERROR(_xlfn.AGGREGATE(15,6,Tasks[Year]/(COUNTIF(E$4:E13,Tasks[Year])=0),1),"")</f>
        <v/>
      </c>
      <c r="O14">
        <v>11</v>
      </c>
      <c r="P14" s="8">
        <f>IFERROR(_xlfn.AGGREGATE(15,6,SortKeyView/InScope,$O14),"")</f>
        <v>46300.000160000003</v>
      </c>
      <c r="Q14">
        <f t="shared" si="2"/>
        <v>16</v>
      </c>
    </row>
    <row r="15" spans="1:17" x14ac:dyDescent="0.25">
      <c r="A15" t="str">
        <f>IFERROR(INDEX(Tasks[Owner],MATCH(_xlfn.AGGREGATE(15,6,OwnerRank/(COUNTIF(A$4:A14,Tasks[Owner])=0)/(Tasks[Owner]&lt;&gt;""),1),OwnerRank,0)),"")</f>
        <v/>
      </c>
      <c r="O15">
        <v>12</v>
      </c>
      <c r="P15" s="8">
        <f>IFERROR(_xlfn.AGGREGATE(15,6,SortKeyView/InScope,$O15),"")</f>
        <v>46302.000169999999</v>
      </c>
      <c r="Q15">
        <f t="shared" si="2"/>
        <v>17</v>
      </c>
    </row>
    <row r="16" spans="1:17" x14ac:dyDescent="0.25">
      <c r="A16" t="str">
        <f>IFERROR(INDEX(Tasks[Owner],MATCH(_xlfn.AGGREGATE(15,6,OwnerRank/(COUNTIF(A$4:A15,Tasks[Owner])=0)/(Tasks[Owner]&lt;&gt;""),1),OwnerRank,0)),"")</f>
        <v/>
      </c>
      <c r="O16">
        <v>13</v>
      </c>
      <c r="P16" s="8">
        <f>IFERROR(_xlfn.AGGREGATE(15,6,SortKeyView/InScope,$O16),"")</f>
        <v>46303.000180000003</v>
      </c>
      <c r="Q16">
        <f t="shared" si="2"/>
        <v>18</v>
      </c>
    </row>
    <row r="17" spans="1:17" x14ac:dyDescent="0.25">
      <c r="A17" t="str">
        <f>IFERROR(INDEX(Tasks[Owner],MATCH(_xlfn.AGGREGATE(15,6,OwnerRank/(COUNTIF(A$4:A16,Tasks[Owner])=0)/(Tasks[Owner]&lt;&gt;""),1),OwnerRank,0)),"")</f>
        <v/>
      </c>
      <c r="O17">
        <v>14</v>
      </c>
      <c r="P17" s="8">
        <f>IFERROR(_xlfn.AGGREGATE(15,6,SortKeyView/InScope,$O17),"")</f>
        <v>46304.000200000002</v>
      </c>
      <c r="Q17">
        <f t="shared" si="2"/>
        <v>20</v>
      </c>
    </row>
    <row r="18" spans="1:17" x14ac:dyDescent="0.25">
      <c r="A18" t="str">
        <f>IFERROR(INDEX(Tasks[Owner],MATCH(_xlfn.AGGREGATE(15,6,OwnerRank/(COUNTIF(A$4:A17,Tasks[Owner])=0)/(Tasks[Owner]&lt;&gt;""),1),OwnerRank,0)),"")</f>
        <v/>
      </c>
      <c r="O18">
        <v>15</v>
      </c>
      <c r="P18" s="8">
        <f>IFERROR(_xlfn.AGGREGATE(15,6,SortKeyView/InScope,$O18),"")</f>
        <v>46305.000209999998</v>
      </c>
      <c r="Q18">
        <f t="shared" si="2"/>
        <v>21</v>
      </c>
    </row>
    <row r="19" spans="1:17" x14ac:dyDescent="0.25">
      <c r="A19" t="str">
        <f>IFERROR(INDEX(Tasks[Owner],MATCH(_xlfn.AGGREGATE(15,6,OwnerRank/(COUNTIF(A$4:A18,Tasks[Owner])=0)/(Tasks[Owner]&lt;&gt;""),1),OwnerRank,0)),"")</f>
        <v/>
      </c>
    </row>
    <row r="20" spans="1:17" x14ac:dyDescent="0.25">
      <c r="A20" t="str">
        <f>IFERROR(INDEX(Tasks[Owner],MATCH(_xlfn.AGGREGATE(15,6,OwnerRank/(COUNTIF(A$4:A19,Tasks[Owner])=0)/(Tasks[Owner]&lt;&gt;""),1),OwnerRank,0)),"")</f>
        <v/>
      </c>
    </row>
    <row r="21" spans="1:17" x14ac:dyDescent="0.25">
      <c r="A21" t="str">
        <f>IFERROR(INDEX(Tasks[Owner],MATCH(_xlfn.AGGREGATE(15,6,OwnerRank/(COUNTIF(A$4:A20,Tasks[Owner])=0)/(Tasks[Owner]&lt;&gt;""),1),OwnerRank,0)),"")</f>
        <v/>
      </c>
    </row>
    <row r="22" spans="1:17" x14ac:dyDescent="0.25">
      <c r="A22" t="str">
        <f>IFERROR(INDEX(Tasks[Owner],MATCH(_xlfn.AGGREGATE(15,6,OwnerRank/(COUNTIF(A$4:A21,Tasks[Owner])=0)/(Tasks[Owner]&lt;&gt;""),1),OwnerRank,0)),"")</f>
        <v/>
      </c>
    </row>
    <row r="23" spans="1:17" x14ac:dyDescent="0.25">
      <c r="A23" t="str">
        <f>IFERROR(INDEX(Tasks[Owner],MATCH(_xlfn.AGGREGATE(15,6,OwnerRank/(COUNTIF(A$4:A22,Tasks[Owner])=0)/(Tasks[Owner]&lt;&gt;""),1),OwnerRank,0)),"")</f>
        <v/>
      </c>
    </row>
    <row r="24" spans="1:17" x14ac:dyDescent="0.25">
      <c r="A24" t="str">
        <f>IFERROR(INDEX(Tasks[Owner],MATCH(_xlfn.AGGREGATE(15,6,OwnerRank/(COUNTIF(A$4:A23,Tasks[Owner])=0)/(Tasks[Owner]&lt;&gt;""),1),OwnerRank,0)),"")</f>
        <v/>
      </c>
    </row>
    <row r="25" spans="1:17" x14ac:dyDescent="0.25">
      <c r="A25" t="str">
        <f>IFERROR(INDEX(Tasks[Owner],MATCH(_xlfn.AGGREGATE(15,6,OwnerRank/(COUNTIF(A$4:A24,Tasks[Owner])=0)/(Tasks[Owner]&lt;&gt;""),1),OwnerRank,0)),"")</f>
        <v/>
      </c>
    </row>
    <row r="26" spans="1:17" x14ac:dyDescent="0.25">
      <c r="A26" t="str">
        <f>IFERROR(INDEX(Tasks[Owner],MATCH(_xlfn.AGGREGATE(15,6,OwnerRank/(COUNTIF(A$4:A25,Tasks[Owner])=0)/(Tasks[Owner]&lt;&gt;""),1),OwnerRank,0)),"")</f>
        <v/>
      </c>
    </row>
    <row r="27" spans="1:17" x14ac:dyDescent="0.25">
      <c r="A27" t="str">
        <f>IFERROR(INDEX(Tasks[Owner],MATCH(_xlfn.AGGREGATE(15,6,OwnerRank/(COUNTIF(A$4:A26,Tasks[Owner])=0)/(Tasks[Owner]&lt;&gt;""),1),OwnerRank,0)),"")</f>
        <v/>
      </c>
    </row>
    <row r="28" spans="1:17" x14ac:dyDescent="0.25">
      <c r="A28" t="str">
        <f>IFERROR(INDEX(Tasks[Owner],MATCH(_xlfn.AGGREGATE(15,6,OwnerRank/(COUNTIF(A$4:A27,Tasks[Owner])=0)/(Tasks[Owner]&lt;&gt;""),1),OwnerRank,0)),"")</f>
        <v/>
      </c>
    </row>
    <row r="29" spans="1:17" x14ac:dyDescent="0.25">
      <c r="A29" t="str">
        <f>IFERROR(INDEX(Tasks[Owner],MATCH(_xlfn.AGGREGATE(15,6,OwnerRank/(COUNTIF(A$4:A28,Tasks[Owner])=0)/(Tasks[Owner]&lt;&gt;""),1),OwnerRank,0)),"")</f>
        <v/>
      </c>
    </row>
    <row r="30" spans="1:17" x14ac:dyDescent="0.25">
      <c r="A30" t="str">
        <f>IFERROR(INDEX(Tasks[Owner],MATCH(_xlfn.AGGREGATE(15,6,OwnerRank/(COUNTIF(A$4:A29,Tasks[Owner])=0)/(Tasks[Owner]&lt;&gt;""),1),OwnerRank,0)),"")</f>
        <v/>
      </c>
    </row>
    <row r="31" spans="1:17" x14ac:dyDescent="0.25">
      <c r="A31" t="str">
        <f>IFERROR(INDEX(Tasks[Owner],MATCH(_xlfn.AGGREGATE(15,6,OwnerRank/(COUNTIF(A$4:A30,Tasks[Owner])=0)/(Tasks[Owner]&lt;&gt;""),1),OwnerRank,0)),"")</f>
        <v/>
      </c>
    </row>
    <row r="32" spans="1:17" x14ac:dyDescent="0.25">
      <c r="A32" t="str">
        <f>IFERROR(INDEX(Tasks[Owner],MATCH(_xlfn.AGGREGATE(15,6,OwnerRank/(COUNTIF(A$4:A31,Tasks[Owner])=0)/(Tasks[Owner]&lt;&gt;""),1),OwnerRank,0)),"")</f>
        <v/>
      </c>
    </row>
    <row r="33" spans="1:1" x14ac:dyDescent="0.25">
      <c r="A33" t="str">
        <f>IFERROR(INDEX(Tasks[Owner],MATCH(_xlfn.AGGREGATE(15,6,OwnerRank/(COUNTIF(A$4:A32,Tasks[Owner])=0)/(Tasks[Owner]&lt;&gt;""),1),OwnerRank,0)),"")</f>
        <v/>
      </c>
    </row>
    <row r="34" spans="1:1" x14ac:dyDescent="0.25">
      <c r="A34" t="str">
        <f>IFERROR(INDEX(Tasks[Owner],MATCH(_xlfn.AGGREGATE(15,6,OwnerRank/(COUNTIF(A$4:A33,Tasks[Owner])=0)/(Tasks[Owner]&lt;&gt;""),1),OwnerRank,0)),"")</f>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15</vt:i4>
      </vt:variant>
    </vt:vector>
  </HeadingPairs>
  <TitlesOfParts>
    <vt:vector size="19" baseType="lpstr">
      <vt:lpstr>Dashboard</vt:lpstr>
      <vt:lpstr>Tasks</vt:lpstr>
      <vt:lpstr>How to use</vt:lpstr>
      <vt:lpstr>Lists</vt:lpstr>
      <vt:lpstr>KpiDone</vt:lpstr>
      <vt:lpstr>KpiDueThisWeek</vt:lpstr>
      <vt:lpstr>KpiInProgress</vt:lpstr>
      <vt:lpstr>KpiOverdue</vt:lpstr>
      <vt:lpstr>KpiTotal</vt:lpstr>
      <vt:lpstr>SelOwner</vt:lpstr>
      <vt:lpstr>SelStatus</vt:lpstr>
      <vt:lpstr>SelYear</vt:lpstr>
      <vt:lpstr>StatusList</vt:lpstr>
      <vt:lpstr>T_Due</vt:lpstr>
      <vt:lpstr>T_ID</vt:lpstr>
      <vt:lpstr>T_Owner</vt:lpstr>
      <vt:lpstr>T_Status</vt:lpstr>
      <vt:lpstr>T_Task</vt:lpstr>
      <vt:lpstr>T_Year</vt:lpstr>
    </vt:vector>
  </TitlesOfParts>
  <Company>AZG Engineering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Work Tracker Demo</dc:title>
  <dc:subject>Demo built with made-up sample data</dc:subject>
  <dc:creator>AZG Engineering</dc:creator>
  <cp:lastModifiedBy>AZG Engineering</cp:lastModifiedBy>
  <dcterms:created xsi:type="dcterms:W3CDTF">2026-10-02T17:52:46Z</dcterms:created>
  <dcterms:modified xsi:type="dcterms:W3CDTF">2026-10-02T17:52:49Z</dcterms:modified>
</cp:coreProperties>
</file>