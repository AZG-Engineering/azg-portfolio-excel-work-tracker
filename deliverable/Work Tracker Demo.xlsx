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xr:revisionPtr revIDLastSave="0" documentId="8_{DBCB23F0-C766-4B66-9BCA-B2DA2543DB32}" xr6:coauthVersionLast="47" xr6:coauthVersionMax="47" xr10:uidLastSave="{00000000-0000-0000-0000-000000000000}"/>
  <bookViews>
    <workbookView xWindow="0" yWindow="1305" windowWidth="21600" windowHeight="11520" xr2:uid="{1F9FEBDE-B559-42F3-97A0-796F3DC4A106}"/>
  </bookViews>
  <sheets>
    <sheet name="Dashboard" sheetId="1" r:id="rId1"/>
    <sheet name="Tasks" sheetId="2" r:id="rId2"/>
    <sheet name="How to use" sheetId="3" r:id="rId3"/>
    <sheet name="Lists" sheetId="4" r:id="rId4"/>
  </sheets>
  <definedNames>
    <definedName name="CondFocus">CondUpcoming*(T_Due&lt;=TODAY()+6)</definedName>
    <definedName name="CondOverdue">InScope*(T_Status&lt;&gt;"Done")*ISNUMBER(T_Due)*(T_Due&lt;TODAY())</definedName>
    <definedName name="CondUpcoming">InScope*(T_Status&lt;&gt;"Done")*ISNUMBER(T_Due)*(T_Due&gt;=TODAY())</definedName>
    <definedName name="InScope">(T_Task&lt;&gt;"")*OwnerOK*StatusOK*YearOK</definedName>
    <definedName name="KpiDone">Dashboard!$N$8</definedName>
    <definedName name="KpiDueThisWeek">Dashboard!$G$8</definedName>
    <definedName name="KpiInProgress">Dashboard!$L$8</definedName>
    <definedName name="KpiOverdue">Dashboard!$D$8</definedName>
    <definedName name="KpiTotal">Dashboard!$B$8</definedName>
    <definedName name="OwnerList">Lists!$A$4:INDEX(Lists!$A$4:$A$34,COUNTIF(Lists!$A$4:$A$34,"?*"))</definedName>
    <definedName name="OwnerOK">((SelOwner="(All)")+(SelOwner="")+(T_Owner=SelOwner))&gt;0</definedName>
    <definedName name="OwnerRank">IF(T_Owner="",-1,COUNTIF(T_Owner,"&lt;"&amp;T_Owner))</definedName>
    <definedName name="_xlnm.Print_Area" localSheetId="0">Dashboard!$A$1:$R$38</definedName>
    <definedName name="RowNo">ROW(T_ID)-MIN(ROW(T_ID))+1</definedName>
    <definedName name="SelOwner">Dashboard!$C$5</definedName>
    <definedName name="SelStatus">Dashboard!$E$5</definedName>
    <definedName name="SelYear">Dashboard!$H$5</definedName>
    <definedName name="SortKey">IF(ISNUMBER(T_Due),T_Due,99999)+RowNo/100000</definedName>
    <definedName name="SortKeyView">IF(T_Status="Done",100000,0)+SortKey</definedName>
    <definedName name="StatusList">Lists!$C$4:$C$8</definedName>
    <definedName name="StatusOK">((SelStatus="(All)")+(SelStatus="")+(T_Status=SelStatus))&gt;0</definedName>
    <definedName name="T_Due">Tasks!$H$2:$H$43</definedName>
    <definedName name="T_ID">Tasks!$A$2:$A$43</definedName>
    <definedName name="T_Owner">Tasks!$C$2:$C$43</definedName>
    <definedName name="T_Status">Tasks!$E$2:$E$43</definedName>
    <definedName name="T_Task">Tasks!$B$2:$B$43</definedName>
    <definedName name="T_Year">Tasks!$J$2:$J$43</definedName>
    <definedName name="YearList">Lists!$E$4:INDEX(Lists!$E$4:$E$14,1+COUNT(Lists!$E$5:$E$14))</definedName>
    <definedName name="YearOK">((SelYear="(All)")+(SelYear="")+(T_Year=SelYear))&gt;0</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5" i="1" l="1"/>
  <c r="B3" i="1"/>
  <c r="H8" i="4"/>
  <c r="I8" i="4" s="1"/>
  <c r="P17" i="1" s="1"/>
  <c r="Q17" i="1" s="1"/>
  <c r="H9" i="4"/>
  <c r="I9" i="4" s="1"/>
  <c r="P18" i="1" s="1"/>
  <c r="Q18" i="1" s="1"/>
  <c r="A5" i="4"/>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L25" i="1" l="1"/>
  <c r="P5" i="4"/>
  <c r="Q5" i="4" s="1"/>
  <c r="P16" i="4"/>
  <c r="Q16" i="4" s="1"/>
  <c r="B37" i="1"/>
  <c r="P10" i="4"/>
  <c r="Q10" i="4" s="1"/>
  <c r="L6" i="4"/>
  <c r="M6" i="4" s="1"/>
  <c r="G8" i="1"/>
  <c r="L21" i="1" s="1"/>
  <c r="P13" i="4"/>
  <c r="Q13" i="4" s="1"/>
  <c r="H5" i="4"/>
  <c r="I5" i="4" s="1"/>
  <c r="L8" i="1"/>
  <c r="P9" i="4"/>
  <c r="Q9" i="4" s="1"/>
  <c r="L5" i="4"/>
  <c r="M5" i="4" s="1"/>
  <c r="D8" i="1"/>
  <c r="P12" i="4"/>
  <c r="Q12" i="4" s="1"/>
  <c r="L7" i="4"/>
  <c r="M7" i="4" s="1"/>
  <c r="N8" i="1"/>
  <c r="P8" i="4"/>
  <c r="Q8" i="4" s="1"/>
  <c r="P17" i="4"/>
  <c r="Q17" i="4" s="1"/>
  <c r="B8" i="1"/>
  <c r="P7" i="4"/>
  <c r="Q7" i="4" s="1"/>
  <c r="L4" i="4"/>
  <c r="M4" i="4" s="1"/>
  <c r="P4" i="4"/>
  <c r="Q4" i="4" s="1"/>
  <c r="P15" i="4"/>
  <c r="Q15" i="4" s="1"/>
  <c r="H7" i="4"/>
  <c r="I7" i="4" s="1"/>
  <c r="P11" i="4"/>
  <c r="Q11" i="4" s="1"/>
  <c r="P14" i="4"/>
  <c r="Q14" i="4" s="1"/>
  <c r="H6" i="4"/>
  <c r="I6" i="4" s="1"/>
  <c r="L8" i="4"/>
  <c r="M8" i="4" s="1"/>
  <c r="H4" i="4"/>
  <c r="I4" i="4" s="1"/>
  <c r="H10" i="4"/>
  <c r="I10" i="4" s="1"/>
  <c r="H11" i="4"/>
  <c r="I11" i="4" s="1"/>
  <c r="E5" i="4"/>
  <c r="E6" i="4" s="1"/>
  <c r="P6" i="4"/>
  <c r="Q6" i="4" s="1"/>
  <c r="P18" i="4"/>
  <c r="Q18" i="4" s="1"/>
  <c r="N20" i="1"/>
  <c r="N18" i="1"/>
  <c r="O18" i="1"/>
  <c r="L18" i="1"/>
  <c r="M18" i="1"/>
  <c r="N17" i="1"/>
  <c r="O17" i="1"/>
  <c r="L17" i="1"/>
  <c r="M17" i="1"/>
  <c r="A6" i="4"/>
  <c r="O25" i="1" l="1"/>
  <c r="N25" i="1" s="1"/>
  <c r="M25" i="1" s="1"/>
  <c r="P25" i="1"/>
  <c r="Q25" i="1"/>
  <c r="C14" i="1"/>
  <c r="E14" i="1"/>
  <c r="F14" i="1"/>
  <c r="G14" i="1"/>
  <c r="H14" i="1"/>
  <c r="I14" i="1" s="1"/>
  <c r="J14" i="1"/>
  <c r="B14" i="1"/>
  <c r="D14" i="1" s="1"/>
  <c r="B25" i="1"/>
  <c r="D25" i="1" s="1"/>
  <c r="C25" i="1"/>
  <c r="E25" i="1"/>
  <c r="F25" i="1"/>
  <c r="G25" i="1"/>
  <c r="H25" i="1"/>
  <c r="I25" i="1" s="1"/>
  <c r="J25" i="1"/>
  <c r="B19" i="1"/>
  <c r="C19" i="1"/>
  <c r="F19" i="1"/>
  <c r="D19" i="1" s="1"/>
  <c r="H19" i="1"/>
  <c r="I19" i="1" s="1"/>
  <c r="J19" i="1"/>
  <c r="E19" i="1"/>
  <c r="G19" i="1"/>
  <c r="F22" i="1"/>
  <c r="H22" i="1"/>
  <c r="I22" i="1" s="1"/>
  <c r="B22" i="1"/>
  <c r="D22" i="1" s="1"/>
  <c r="C22" i="1"/>
  <c r="E22" i="1"/>
  <c r="G22" i="1"/>
  <c r="J22" i="1"/>
  <c r="B18" i="1"/>
  <c r="C18" i="1"/>
  <c r="E18" i="1"/>
  <c r="F18" i="1"/>
  <c r="D18" i="1" s="1"/>
  <c r="G18" i="1"/>
  <c r="H18" i="1"/>
  <c r="I18" i="1" s="1"/>
  <c r="J18" i="1"/>
  <c r="C21" i="1"/>
  <c r="E21" i="1"/>
  <c r="F21" i="1"/>
  <c r="B21" i="1"/>
  <c r="D21" i="1"/>
  <c r="G21" i="1"/>
  <c r="H21" i="1"/>
  <c r="I21" i="1" s="1"/>
  <c r="J21" i="1"/>
  <c r="B17" i="1"/>
  <c r="C17" i="1"/>
  <c r="E17" i="1"/>
  <c r="F17" i="1"/>
  <c r="D17" i="1" s="1"/>
  <c r="G17" i="1"/>
  <c r="H17" i="1"/>
  <c r="I17" i="1" s="1"/>
  <c r="J17" i="1"/>
  <c r="B26" i="1"/>
  <c r="C26" i="1"/>
  <c r="E26" i="1"/>
  <c r="F26" i="1"/>
  <c r="D26" i="1" s="1"/>
  <c r="G26" i="1"/>
  <c r="H26" i="1"/>
  <c r="I26" i="1" s="1"/>
  <c r="J26" i="1"/>
  <c r="E11" i="1"/>
  <c r="B28" i="1"/>
  <c r="B16" i="1"/>
  <c r="C16" i="1"/>
  <c r="E16" i="1"/>
  <c r="F16" i="1"/>
  <c r="D16" i="1" s="1"/>
  <c r="G16" i="1"/>
  <c r="H16" i="1"/>
  <c r="I16" i="1" s="1"/>
  <c r="J16" i="1"/>
  <c r="E13" i="1"/>
  <c r="F13" i="1"/>
  <c r="J13" i="1"/>
  <c r="C13" i="1"/>
  <c r="B13" i="1"/>
  <c r="D13" i="1"/>
  <c r="H13" i="1"/>
  <c r="I13" i="1" s="1"/>
  <c r="G13" i="1"/>
  <c r="B24" i="1"/>
  <c r="C24" i="1"/>
  <c r="E24" i="1"/>
  <c r="F24" i="1"/>
  <c r="D24" i="1" s="1"/>
  <c r="G24" i="1"/>
  <c r="H24" i="1"/>
  <c r="I24" i="1" s="1"/>
  <c r="J24" i="1"/>
  <c r="B20" i="1"/>
  <c r="D20" i="1" s="1"/>
  <c r="G20" i="1"/>
  <c r="C20" i="1"/>
  <c r="E20" i="1"/>
  <c r="H20" i="1"/>
  <c r="I20" i="1" s="1"/>
  <c r="J20" i="1"/>
  <c r="F20" i="1"/>
  <c r="B23" i="1"/>
  <c r="C23" i="1"/>
  <c r="E23" i="1"/>
  <c r="F23" i="1"/>
  <c r="D23" i="1" s="1"/>
  <c r="G23" i="1"/>
  <c r="H23" i="1"/>
  <c r="I23" i="1" s="1"/>
  <c r="J23" i="1"/>
  <c r="B15" i="1"/>
  <c r="C15" i="1"/>
  <c r="E15" i="1"/>
  <c r="F15" i="1"/>
  <c r="D15" i="1" s="1"/>
  <c r="G15" i="1"/>
  <c r="H15" i="1"/>
  <c r="I15" i="1" s="1"/>
  <c r="J15" i="1"/>
  <c r="B27" i="1"/>
  <c r="C27" i="1"/>
  <c r="E27" i="1"/>
  <c r="F27" i="1"/>
  <c r="D27" i="1" s="1"/>
  <c r="G27" i="1"/>
  <c r="H27" i="1"/>
  <c r="I27" i="1" s="1"/>
  <c r="J27" i="1"/>
  <c r="F34" i="1"/>
  <c r="C34" i="1"/>
  <c r="B34" i="1"/>
  <c r="E34" i="1"/>
  <c r="D34" i="1"/>
  <c r="G34" i="1"/>
  <c r="J34" i="1"/>
  <c r="H34" i="1"/>
  <c r="I34" i="1" s="1"/>
  <c r="P14" i="1"/>
  <c r="Q14" i="1" s="1"/>
  <c r="N14" i="1"/>
  <c r="O14" i="1"/>
  <c r="L14" i="1"/>
  <c r="M14" i="1"/>
  <c r="E33" i="1"/>
  <c r="C33" i="1"/>
  <c r="B33" i="1"/>
  <c r="D33" i="1"/>
  <c r="G33" i="1"/>
  <c r="F33" i="1"/>
  <c r="J33" i="1"/>
  <c r="H33" i="1"/>
  <c r="I33" i="1" s="1"/>
  <c r="J35" i="1"/>
  <c r="B35" i="1"/>
  <c r="E35" i="1"/>
  <c r="F35" i="1"/>
  <c r="D35" i="1"/>
  <c r="H35" i="1"/>
  <c r="I35" i="1" s="1"/>
  <c r="G35" i="1"/>
  <c r="C35" i="1"/>
  <c r="G32" i="1"/>
  <c r="B32" i="1"/>
  <c r="H32" i="1"/>
  <c r="I32" i="1" s="1"/>
  <c r="D32" i="1"/>
  <c r="C32" i="1"/>
  <c r="E32" i="1"/>
  <c r="J32" i="1"/>
  <c r="F32" i="1"/>
  <c r="P16" i="1"/>
  <c r="Q16" i="1" s="1"/>
  <c r="M16" i="1"/>
  <c r="L16" i="1"/>
  <c r="O16" i="1"/>
  <c r="N16" i="1"/>
  <c r="P15" i="1"/>
  <c r="Q15" i="1" s="1"/>
  <c r="M15" i="1"/>
  <c r="L15" i="1"/>
  <c r="O15" i="1"/>
  <c r="N15" i="1"/>
  <c r="H36" i="1"/>
  <c r="I36" i="1" s="1"/>
  <c r="C36" i="1"/>
  <c r="B36" i="1"/>
  <c r="E36" i="1"/>
  <c r="D36" i="1"/>
  <c r="G36" i="1"/>
  <c r="F36" i="1"/>
  <c r="J36" i="1"/>
  <c r="P13" i="1"/>
  <c r="Q13" i="1" s="1"/>
  <c r="M13" i="1"/>
  <c r="L13" i="1"/>
  <c r="N13" i="1"/>
  <c r="O13" i="1"/>
  <c r="P19" i="1"/>
  <c r="Q19" i="1" s="1"/>
  <c r="N19" i="1"/>
  <c r="O19" i="1"/>
  <c r="M19" i="1"/>
  <c r="L19" i="1"/>
  <c r="P20" i="1"/>
  <c r="Q20" i="1" s="1"/>
  <c r="O20" i="1"/>
  <c r="L20" i="1"/>
  <c r="M20" i="1"/>
  <c r="L26" i="1"/>
  <c r="E7" i="4"/>
  <c r="A7" i="4"/>
  <c r="O26" i="1" l="1"/>
  <c r="N26" i="1" s="1"/>
  <c r="M26" i="1" s="1"/>
  <c r="P26" i="1"/>
  <c r="Q26" i="1"/>
  <c r="L27" i="1"/>
  <c r="E8" i="4"/>
  <c r="A8" i="4"/>
  <c r="O27" i="1" l="1"/>
  <c r="N27" i="1" s="1"/>
  <c r="M27" i="1" s="1"/>
  <c r="P27" i="1"/>
  <c r="Q27" i="1"/>
  <c r="L28" i="1"/>
  <c r="E9" i="4"/>
  <c r="A9" i="4"/>
  <c r="L29" i="1" s="1"/>
  <c r="O28" i="1" l="1"/>
  <c r="N28" i="1" s="1"/>
  <c r="M28" i="1" s="1"/>
  <c r="P28" i="1"/>
  <c r="Q28" i="1"/>
  <c r="O29" i="1"/>
  <c r="N29" i="1" s="1"/>
  <c r="M29" i="1" s="1"/>
  <c r="P29" i="1"/>
  <c r="Q29" i="1"/>
  <c r="E10" i="4"/>
  <c r="E11" i="4" s="1"/>
  <c r="E12" i="4" s="1"/>
  <c r="E13" i="4" s="1"/>
  <c r="E14" i="4" s="1"/>
  <c r="A10" i="4"/>
  <c r="L30" i="1" s="1"/>
  <c r="O30" i="1" l="1"/>
  <c r="N30" i="1" s="1"/>
  <c r="M30" i="1" s="1"/>
  <c r="P30" i="1"/>
  <c r="Q30" i="1"/>
  <c r="A11" i="4"/>
  <c r="L31" i="1" s="1"/>
  <c r="O31" i="1" l="1"/>
  <c r="N31" i="1" s="1"/>
  <c r="M31" i="1" s="1"/>
  <c r="P31" i="1"/>
  <c r="Q31" i="1"/>
  <c r="A12" i="4"/>
  <c r="A13" i="4" l="1"/>
  <c r="A14" i="4" s="1"/>
  <c r="A15" i="4" s="1"/>
  <c r="A16" i="4" s="1"/>
  <c r="A17" i="4" s="1"/>
  <c r="A18" i="4" s="1"/>
  <c r="A19" i="4" s="1"/>
  <c r="A20" i="4" s="1"/>
  <c r="A21" i="4" s="1"/>
  <c r="A22" i="4" s="1"/>
  <c r="A23" i="4" s="1"/>
  <c r="A24" i="4" s="1"/>
  <c r="A25" i="4" s="1"/>
  <c r="A26" i="4" s="1"/>
  <c r="A27" i="4" s="1"/>
  <c r="A28" i="4" s="1"/>
  <c r="A29" i="4" s="1"/>
  <c r="A30" i="4" s="1"/>
  <c r="A31" i="4" s="1"/>
  <c r="A32" i="4" s="1"/>
  <c r="A33" i="4" s="1"/>
  <c r="A34" i="4" s="1"/>
  <c r="L33" i="1" s="1"/>
  <c r="L32" i="1"/>
  <c r="O32" i="1" l="1"/>
  <c r="N32" i="1" s="1"/>
  <c r="M32" i="1" s="1"/>
  <c r="P32" i="1"/>
  <c r="Q32" i="1"/>
</calcChain>
</file>

<file path=xl/sharedStrings.xml><?xml version="1.0" encoding="utf-8"?>
<sst xmlns="http://schemas.openxmlformats.org/spreadsheetml/2006/main" count="353" uniqueCount="167">
  <si>
    <t>ID</t>
  </si>
  <si>
    <t>Task</t>
  </si>
  <si>
    <t>Owner</t>
  </si>
  <si>
    <t>Department</t>
  </si>
  <si>
    <t>Status</t>
  </si>
  <si>
    <t>Priority</t>
  </si>
  <si>
    <t>Start</t>
  </si>
  <si>
    <t>Due</t>
  </si>
  <si>
    <t>% Complete</t>
  </si>
  <si>
    <t>Year</t>
  </si>
  <si>
    <t>Notes</t>
  </si>
  <si>
    <t>T-001</t>
  </si>
  <si>
    <t>Renew office lease</t>
  </si>
  <si>
    <t>Taylor R.</t>
  </si>
  <si>
    <t>Operations</t>
  </si>
  <si>
    <t>Done</t>
  </si>
  <si>
    <t>High</t>
  </si>
  <si>
    <t>Signed for 3 years</t>
  </si>
  <si>
    <t>T-002</t>
  </si>
  <si>
    <t>Q3 month-end checklist</t>
  </si>
  <si>
    <t>Jordan M.</t>
  </si>
  <si>
    <t>Finance</t>
  </si>
  <si>
    <t>T-003</t>
  </si>
  <si>
    <t>Update price list</t>
  </si>
  <si>
    <t>Casey L.</t>
  </si>
  <si>
    <t>Sales</t>
  </si>
  <si>
    <t>Medium</t>
  </si>
  <si>
    <t>Sent to all reps</t>
  </si>
  <si>
    <t>T-004</t>
  </si>
  <si>
    <t>Replace front-desk PC</t>
  </si>
  <si>
    <t>Riley P.</t>
  </si>
  <si>
    <t>IT</t>
  </si>
  <si>
    <t>Low</t>
  </si>
  <si>
    <t>T-005</t>
  </si>
  <si>
    <t>New-hire paperwork review</t>
  </si>
  <si>
    <t>Morgan T.</t>
  </si>
  <si>
    <t>HR</t>
  </si>
  <si>
    <t>T-006</t>
  </si>
  <si>
    <t>Vendor contract renewal</t>
  </si>
  <si>
    <t>In progress</t>
  </si>
  <si>
    <t>Waiting on vendor redline</t>
  </si>
  <si>
    <t>T-007</t>
  </si>
  <si>
    <t>Customer survey mailing</t>
  </si>
  <si>
    <t>T-008</t>
  </si>
  <si>
    <t>Backup system test</t>
  </si>
  <si>
    <t>Blocked</t>
  </si>
  <si>
    <t>Needs a new drive</t>
  </si>
  <si>
    <t>T-009</t>
  </si>
  <si>
    <t>Expense policy update</t>
  </si>
  <si>
    <t>T-010</t>
  </si>
  <si>
    <t>Safety training sign-off</t>
  </si>
  <si>
    <t>Not started</t>
  </si>
  <si>
    <t>T-011</t>
  </si>
  <si>
    <t>Forklift inspection</t>
  </si>
  <si>
    <t>Avery K.</t>
  </si>
  <si>
    <t>T-012</t>
  </si>
  <si>
    <t>Trade show booth order</t>
  </si>
  <si>
    <t>Supplier out of stock</t>
  </si>
  <si>
    <t>T-013</t>
  </si>
  <si>
    <t>Payroll calendar 2027</t>
  </si>
  <si>
    <t>T-014</t>
  </si>
  <si>
    <t>Warehouse rack labels</t>
  </si>
  <si>
    <t>T-015</t>
  </si>
  <si>
    <t>Quote follow-up calls</t>
  </si>
  <si>
    <t>T-016</t>
  </si>
  <si>
    <t>Laptop refresh order</t>
  </si>
  <si>
    <t>T-017</t>
  </si>
  <si>
    <t>Benefits enrollment memo</t>
  </si>
  <si>
    <t>T-018</t>
  </si>
  <si>
    <t>Fleet insurance renewal</t>
  </si>
  <si>
    <t>T-019</t>
  </si>
  <si>
    <t>Monthly sales report</t>
  </si>
  <si>
    <t>Finished early</t>
  </si>
  <si>
    <t>T-020</t>
  </si>
  <si>
    <t>Budget draft for 2027</t>
  </si>
  <si>
    <t>T-021</t>
  </si>
  <si>
    <t>Website contact form fix</t>
  </si>
  <si>
    <t>T-022</t>
  </si>
  <si>
    <t>Holiday schedule posting</t>
  </si>
  <si>
    <t>T-023</t>
  </si>
  <si>
    <t>Dock door repair</t>
  </si>
  <si>
    <t>Part on order</t>
  </si>
  <si>
    <t>T-024</t>
  </si>
  <si>
    <t>Key account review</t>
  </si>
  <si>
    <t>T-025</t>
  </si>
  <si>
    <t>Supplier scorecards</t>
  </si>
  <si>
    <t>T-026</t>
  </si>
  <si>
    <t>Password policy rollout</t>
  </si>
  <si>
    <t>T-027</t>
  </si>
  <si>
    <t>Collections call list</t>
  </si>
  <si>
    <t>T-028</t>
  </si>
  <si>
    <t>Performance review forms</t>
  </si>
  <si>
    <t>T-029</t>
  </si>
  <si>
    <t>Year-end inventory count</t>
  </si>
  <si>
    <t>T-030</t>
  </si>
  <si>
    <t>Holiday promo flyer</t>
  </si>
  <si>
    <t>T-031</t>
  </si>
  <si>
    <t>Phone system upgrade</t>
  </si>
  <si>
    <t>Carrier quote pending</t>
  </si>
  <si>
    <t>T-032</t>
  </si>
  <si>
    <t>Year-end document binder</t>
  </si>
  <si>
    <t>T-033</t>
  </si>
  <si>
    <t>First-aid kit restock</t>
  </si>
  <si>
    <t>T-034</t>
  </si>
  <si>
    <t>Delivery route review</t>
  </si>
  <si>
    <t>T-035</t>
  </si>
  <si>
    <t>CRM cleanup</t>
  </si>
  <si>
    <t>T-036</t>
  </si>
  <si>
    <t>Office wifi upgrade</t>
  </si>
  <si>
    <t>T-037</t>
  </si>
  <si>
    <t>Quarterly vendor review</t>
  </si>
  <si>
    <t>T-038</t>
  </si>
  <si>
    <t>New-year filing setup</t>
  </si>
  <si>
    <t>T-039</t>
  </si>
  <si>
    <t>Server room cleanup</t>
  </si>
  <si>
    <t>T-040</t>
  </si>
  <si>
    <t>Annual safety plan</t>
  </si>
  <si>
    <t>T-041</t>
  </si>
  <si>
    <t>Spring hiring plan</t>
  </si>
  <si>
    <t>T-042</t>
  </si>
  <si>
    <t>Customer appreciation day</t>
  </si>
  <si>
    <t>Venue not confirmed</t>
  </si>
  <si>
    <t>Helper lists for the Dashboard. These are formulas: please don't type on this sheet.</t>
  </si>
  <si>
    <t>Dropdown choices on the left; on the right, which table row each dashboard list line shows.</t>
  </si>
  <si>
    <t>Owner choices</t>
  </si>
  <si>
    <t>(All)</t>
  </si>
  <si>
    <t>Status choices</t>
  </si>
  <si>
    <t>Year choices</t>
  </si>
  <si>
    <t>#</t>
  </si>
  <si>
    <t>This Week's Focus: key</t>
  </si>
  <si>
    <t>Table row</t>
  </si>
  <si>
    <t>Next due: key</t>
  </si>
  <si>
    <t>Tasks in view: key</t>
  </si>
  <si>
    <t>Work Tracker Dashboard</t>
  </si>
  <si>
    <t>TOTAL TASKS</t>
  </si>
  <si>
    <t>OVERDUE</t>
  </si>
  <si>
    <t>DUE THIS WEEK</t>
  </si>
  <si>
    <t>IN PROGRESS</t>
  </si>
  <si>
    <t>DONE</t>
  </si>
  <si>
    <t>Tasks in view</t>
  </si>
  <si>
    <t>Flag</t>
  </si>
  <si>
    <t>% done</t>
  </si>
  <si>
    <t>Next 5 due dates</t>
  </si>
  <si>
    <t>Not done, soonest first</t>
  </si>
  <si>
    <t>Days left</t>
  </si>
  <si>
    <t>This Week's Focus</t>
  </si>
  <si>
    <t>Not done, due in the next 7 days</t>
  </si>
  <si>
    <t>Progress by owner</t>
  </si>
  <si>
    <t>Follows the filters</t>
  </si>
  <si>
    <t>Average % done</t>
  </si>
  <si>
    <t>Tasks</t>
  </si>
  <si>
    <t>Overdue</t>
  </si>
  <si>
    <t>How to use this tracker</t>
  </si>
  <si>
    <t>Demo built with made-up sample data. Every task and name here is invented.</t>
  </si>
  <si>
    <t>Add or change tasks</t>
  </si>
  <si>
    <t>Go to the Tasks sheet and type in the first empty row under the table. The table grows by itself.</t>
  </si>
  <si>
    <t>Status and Priority are dropdowns. % Complete takes 0% to 100%. Year fills itself in from the Due date.</t>
  </si>
  <si>
    <t>To remove a task, right-click its row in the table and choose Delete &gt; Table Rows.</t>
  </si>
  <si>
    <t>Read the dashboard</t>
  </si>
  <si>
    <t>Pick an Owner, a Status or a Year in the shaded cells at the top. Everything on the page follows. Choose (All) to clear.</t>
  </si>
  <si>
    <t>Overdue = not Done and the Due date is before today. Due this week = not Done and due today or in the next 6 days.</t>
  </si>
  <si>
    <t>Tasks in view shows up to 15 tasks, Next due dates 5, This Week's Focus 8. A line under each list says how many more are not shown.</t>
  </si>
  <si>
    <t>In the Tasks sheet, an overdue Due date turns red and says OVERDUE; one due this week turns amber and says so. They update by themselves, every day.</t>
  </si>
  <si>
    <t>Good to know</t>
  </si>
  <si>
    <t>Nothing here needs macros. It uses formulas that exist in Excel 2010 and later; built and tested in Excel for Microsoft 365 on Windows.</t>
  </si>
  <si>
    <t>The Lists sheet holds helper formulas for the dashboard. Leave it as it is.</t>
  </si>
  <si>
    <t>The sample dates were set on Oct 6, 2026, so some tasks were overdue and some due that week. The dashboard always compares with today's date, so the counts move as days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</si>
</sst>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mm\ d\,\ yyyy"/>
    <numFmt numFmtId="167" formatCode="0.00000"/>
    <numFmt numFmtId="168" formatCode="mmm\ d"/>
    <numFmt numFmtId="169" formatCode="[=0]&quot;today&quot;;[=1]&quot;1 day&quot;;0&quot; days&quot;"/>
  </numFmts>
  <fonts count="12" x14ac:knownFonts="1">
    <font>
      <sz val="11"/>
      <color rgb="FF1F2937"/>
      <name val="Calibri"/>
      <family val="2"/>
      <scheme val="minor"/>
    </font>
    <font>
      <sz val="11"/>
      <color rgb="FF5B6B7F"/>
      <name val="Calibri"/>
      <family val="2"/>
      <scheme val="minor"/>
    </font>
    <font>
      <i/>
      <sz val="11"/>
      <color rgb="FF5B6B7F"/>
      <name val="Calibri"/>
      <family val="2"/>
      <scheme val="minor"/>
    </font>
    <font>
      <b/>
      <sz val="11"/>
      <color rgb="FF1F3A5F"/>
      <name val="Calibri"/>
      <family val="2"/>
      <scheme val="minor"/>
    </font>
    <font>
      <b/>
      <sz val="20"/>
      <color rgb="FF1F3A5F"/>
      <name val="Calibri"/>
      <family val="2"/>
      <scheme val="minor"/>
    </font>
    <font>
      <b/>
      <sz val="11"/>
      <color rgb="FF5B6B7F"/>
      <name val="Calibri"/>
      <family val="2"/>
      <scheme val="minor"/>
    </font>
    <font>
      <i/>
      <sz val="9"/>
      <color rgb="FF5B6B7F"/>
      <name val="Calibri"/>
      <family val="2"/>
      <scheme val="minor"/>
    </font>
    <font>
      <sz val="9"/>
      <color rgb="FF5B6B7F"/>
      <name val="Calibri"/>
      <family val="2"/>
      <scheme val="minor"/>
    </font>
    <font>
      <b/>
      <sz val="36"/>
      <color rgb="FF1F3A5F"/>
      <name val="Calibri"/>
      <family val="2"/>
      <scheme val="minor"/>
    </font>
    <font>
      <b/>
      <sz val="36"/>
      <color rgb="FFB42318"/>
      <name val="Calibri"/>
      <family val="2"/>
      <scheme val="minor"/>
    </font>
    <font>
      <b/>
      <sz val="36"/>
      <color rgb="FF7A4A00"/>
      <name val="Calibri"/>
      <family val="2"/>
      <scheme val="minor"/>
    </font>
    <font>
      <b/>
      <sz val="13"/>
      <color rgb="FF1F3A5F"/>
      <name val="Calibri"/>
      <family val="2"/>
      <scheme val="minor"/>
    </font>
  </fonts>
  <fills count="4">
    <fill>
      <patternFill patternType="none"/>
    </fill>
    <fill>
      <patternFill patternType="gray125"/>
    </fill>
    <fill>
      <patternFill patternType="solid">
        <fgColor rgb="FFFFFFFF"/>
        <bgColor indexed="64"/>
      </patternFill>
    </fill>
    <fill>
      <patternFill patternType="solid">
        <fgColor rgb="FFE2E8F0"/>
        <bgColor indexed="64"/>
      </patternFill>
    </fill>
  </fills>
  <borders count="5">
    <border>
      <left/>
      <right/>
      <top/>
      <bottom/>
      <diagonal/>
    </border>
    <border>
      <left/>
      <right/>
      <top/>
      <bottom style="thin">
        <color rgb="FF1F3A5F"/>
      </bottom>
      <diagonal/>
    </border>
    <border>
      <left style="thick">
        <color rgb="FF1F3A5F"/>
      </left>
      <right/>
      <top/>
      <bottom/>
      <diagonal/>
    </border>
    <border>
      <left style="thick">
        <color rgb="FFB42318"/>
      </left>
      <right/>
      <top/>
      <bottom/>
      <diagonal/>
    </border>
    <border>
      <left style="thick">
        <color rgb="FF7A4A00"/>
      </left>
      <right/>
      <top/>
      <bottom/>
      <diagonal/>
    </border>
  </borders>
  <cellStyleXfs count="1">
    <xf numFmtId="0" fontId="0" fillId="0" borderId="0"/>
  </cellStyleXfs>
  <cellXfs count="42">
    <xf numFmtId="0" fontId="0" fillId="0" borderId="0" xfId="0"/>
    <xf numFmtId="164" fontId="0" fillId="0" borderId="0" xfId="0" applyNumberFormat="1"/>
    <xf numFmtId="9" fontId="0" fillId="0" borderId="0" xfId="0" applyNumberFormat="1"/>
    <xf numFmtId="0" fontId="0" fillId="0" borderId="0" xfId="0" applyAlignment="1">
      <alignment horizontal="left"/>
    </xf>
    <xf numFmtId="0" fontId="0" fillId="0" borderId="0" xfId="0" applyAlignment="1">
      <alignment horizontal="center"/>
    </xf>
    <xf numFmtId="0" fontId="0" fillId="0" borderId="0" xfId="0" applyAlignment="1">
      <alignment horizontal="left" vertical="center"/>
    </xf>
    <xf numFmtId="0" fontId="0" fillId="0" borderId="0" xfId="0" applyAlignment="1">
      <alignment vertical="center"/>
    </xf>
    <xf numFmtId="164" fontId="0" fillId="0" borderId="0" xfId="0" applyNumberFormat="1" applyAlignment="1">
      <alignment vertical="center"/>
    </xf>
    <xf numFmtId="9" fontId="0" fillId="0" borderId="0" xfId="0" applyNumberFormat="1" applyAlignment="1">
      <alignment vertical="center"/>
    </xf>
    <xf numFmtId="0" fontId="0" fillId="0" borderId="0" xfId="0" applyAlignment="1">
      <alignment horizontal="center" vertical="center"/>
    </xf>
    <xf numFmtId="0" fontId="2" fillId="2" borderId="0" xfId="0" applyFont="1" applyFill="1" applyAlignment="1">
      <alignment horizontal="center"/>
    </xf>
    <xf numFmtId="0" fontId="3" fillId="0" borderId="0" xfId="0" applyFont="1"/>
    <xf numFmtId="0" fontId="1" fillId="0" borderId="0" xfId="0" applyFont="1"/>
    <xf numFmtId="0" fontId="3" fillId="3" borderId="0" xfId="0" applyFont="1" applyFill="1"/>
    <xf numFmtId="167" fontId="0" fillId="0" borderId="0" xfId="0" applyNumberFormat="1"/>
    <xf numFmtId="0" fontId="4" fillId="0" borderId="0" xfId="0" applyFont="1" applyAlignment="1">
      <alignment vertical="center"/>
    </xf>
    <xf numFmtId="0" fontId="1" fillId="0" borderId="0" xfId="0" applyFont="1" applyAlignment="1">
      <alignment vertical="center"/>
    </xf>
    <xf numFmtId="0" fontId="5" fillId="0" borderId="0" xfId="0" applyFont="1" applyAlignment="1">
      <alignment horizontal="right" vertical="center"/>
    </xf>
    <xf numFmtId="0" fontId="3" fillId="3" borderId="0" xfId="0" applyFont="1" applyFill="1" applyAlignment="1">
      <alignment vertical="center"/>
    </xf>
    <xf numFmtId="0" fontId="3" fillId="3" borderId="1" xfId="0" applyFont="1" applyFill="1" applyBorder="1" applyAlignment="1">
      <alignment horizontal="left" vertical="center"/>
    </xf>
    <xf numFmtId="0" fontId="3" fillId="3" borderId="1" xfId="0" applyFont="1" applyFill="1" applyBorder="1" applyAlignment="1">
      <alignment horizontal="left" vertical="center"/>
    </xf>
    <xf numFmtId="0" fontId="6" fillId="0" borderId="0" xfId="0" applyFont="1" applyAlignment="1">
      <alignment vertical="center"/>
    </xf>
    <xf numFmtId="0" fontId="7" fillId="0" borderId="0" xfId="0" applyFont="1" applyBorder="1" applyAlignment="1">
      <alignment horizontal="left" vertical="center" indent="1"/>
    </xf>
    <xf numFmtId="0" fontId="7" fillId="0" borderId="2" xfId="0" applyFont="1" applyBorder="1" applyAlignment="1">
      <alignment horizontal="left" vertical="center" indent="1"/>
    </xf>
    <xf numFmtId="0" fontId="8" fillId="0" borderId="0" xfId="0" applyFont="1" applyBorder="1" applyAlignment="1">
      <alignment horizontal="left" vertical="center" indent="1"/>
    </xf>
    <xf numFmtId="0" fontId="8" fillId="0" borderId="2" xfId="0" applyFont="1" applyBorder="1" applyAlignment="1">
      <alignment horizontal="left" vertical="center" indent="1"/>
    </xf>
    <xf numFmtId="0" fontId="7" fillId="0" borderId="3" xfId="0" applyFont="1" applyBorder="1" applyAlignment="1">
      <alignment horizontal="left" vertical="center" indent="1"/>
    </xf>
    <xf numFmtId="0" fontId="9" fillId="0" borderId="0" xfId="0" applyFont="1" applyBorder="1" applyAlignment="1">
      <alignment horizontal="left" vertical="center" indent="1"/>
    </xf>
    <xf numFmtId="0" fontId="9" fillId="0" borderId="3" xfId="0" applyFont="1" applyBorder="1" applyAlignment="1">
      <alignment horizontal="left" vertical="center" indent="1"/>
    </xf>
    <xf numFmtId="0" fontId="7" fillId="0" borderId="4" xfId="0" applyFont="1" applyBorder="1" applyAlignment="1">
      <alignment horizontal="left" vertical="center" indent="1"/>
    </xf>
    <xf numFmtId="0" fontId="10" fillId="0" borderId="0" xfId="0" applyFont="1" applyBorder="1" applyAlignment="1">
      <alignment horizontal="left" vertical="center" indent="1"/>
    </xf>
    <xf numFmtId="0" fontId="10" fillId="0" borderId="4" xfId="0" applyFont="1" applyBorder="1" applyAlignment="1">
      <alignment horizontal="left" vertical="center" indent="1"/>
    </xf>
    <xf numFmtId="0" fontId="11" fillId="0" borderId="0" xfId="0" applyFont="1" applyAlignment="1">
      <alignment vertical="center"/>
    </xf>
    <xf numFmtId="168" fontId="0" fillId="0" borderId="0" xfId="0" applyNumberFormat="1" applyAlignment="1">
      <alignment horizontal="left" vertical="center"/>
    </xf>
    <xf numFmtId="0" fontId="3" fillId="3" borderId="0" xfId="0" applyFont="1" applyFill="1" applyAlignment="1">
      <alignment horizontal="right" vertical="center"/>
    </xf>
    <xf numFmtId="0" fontId="3" fillId="3" borderId="0" xfId="0" applyFont="1" applyFill="1" applyAlignment="1">
      <alignment horizontal="center" vertical="center"/>
    </xf>
    <xf numFmtId="9" fontId="0" fillId="0" borderId="0" xfId="0" applyNumberFormat="1" applyAlignment="1">
      <alignment horizontal="center" vertical="center"/>
    </xf>
    <xf numFmtId="169" fontId="0" fillId="0" borderId="0" xfId="0" applyNumberFormat="1" applyAlignment="1">
      <alignment horizontal="left" vertical="center"/>
    </xf>
    <xf numFmtId="0" fontId="6" fillId="0" borderId="0" xfId="0" applyFont="1"/>
    <xf numFmtId="0" fontId="4" fillId="0" borderId="0" xfId="0" applyFont="1" applyAlignment="1">
      <alignment horizontal="left"/>
    </xf>
    <xf numFmtId="0" fontId="11" fillId="0" borderId="0" xfId="0" applyFont="1" applyAlignment="1">
      <alignment horizontal="left"/>
    </xf>
    <xf numFmtId="0" fontId="1" fillId="0" borderId="0" xfId="0" applyFont="1" applyAlignment="1">
      <alignment horizontal="left"/>
    </xf>
  </cellXfs>
  <cellStyles count="1">
    <cellStyle name="Normal" xfId="0" builtinId="0" customBuiltin="1"/>
  </cellStyles>
  <dxfs count="20">
    <dxf>
      <font>
        <b/>
        <i val="0"/>
        <color rgb="FFB42318"/>
      </font>
    </dxf>
    <dxf>
      <font>
        <b/>
        <i val="0"/>
        <color rgb="FF1F2937"/>
      </font>
    </dxf>
    <dxf>
      <font>
        <b/>
        <i val="0"/>
        <color rgb="FF1F2937"/>
      </font>
    </dxf>
    <dxf>
      <font>
        <b/>
        <i val="0"/>
        <color rgb="FF1F2937"/>
      </font>
    </dxf>
    <dxf>
      <font>
        <b/>
        <i val="0"/>
        <color rgb="FF7A4A00"/>
      </font>
    </dxf>
    <dxf>
      <font>
        <b val="0"/>
        <i val="0"/>
        <color rgb="FF2E7D32"/>
      </font>
    </dxf>
    <dxf>
      <font>
        <b/>
        <i val="0"/>
        <color rgb="FF7A4A00"/>
      </font>
    </dxf>
    <dxf>
      <font>
        <b val="0"/>
        <i val="0"/>
        <color rgb="FF2E7D32"/>
      </font>
    </dxf>
    <dxf>
      <font>
        <b val="0"/>
        <i val="0"/>
        <color rgb="FF7A4A00"/>
      </font>
      <fill>
        <patternFill>
          <bgColor rgb="FFFDE7B0"/>
        </patternFill>
      </fill>
    </dxf>
    <dxf>
      <font>
        <b/>
        <i val="0"/>
        <color rgb="FFFFFFFF"/>
      </font>
      <fill>
        <patternFill>
          <bgColor rgb="FFB42318"/>
        </patternFill>
      </fill>
    </dxf>
    <dxf>
      <font>
        <color rgb="FF7A4A00"/>
      </font>
      <numFmt numFmtId="166" formatCode="mmm\ d\,\ yyyy&quot;   this week&quot;"/>
      <fill>
        <patternFill>
          <bgColor rgb="FFFDE7B0"/>
        </patternFill>
      </fill>
    </dxf>
    <dxf>
      <font>
        <b/>
        <i val="0"/>
        <color rgb="FFFFFFFF"/>
      </font>
      <numFmt numFmtId="165" formatCode="mmm\ d\,\ yyyy&quot;   OVERDUE&quot;"/>
      <fill>
        <patternFill>
          <bgColor rgb="FFB42318"/>
        </patternFill>
      </fill>
    </dxf>
    <dxf>
      <font>
        <i/>
        <color rgb="FF5B6B7F"/>
      </font>
      <fill>
        <patternFill patternType="solid">
          <fgColor indexed="64"/>
          <bgColor rgb="FFFFFFFF"/>
        </patternFill>
      </fill>
      <alignment horizontal="center" vertical="bottom" textRotation="0" wrapText="0" indent="0" justifyLastLine="0" shrinkToFit="0" readingOrder="0"/>
    </dxf>
    <dxf>
      <numFmt numFmtId="13" formatCode="0%"/>
    </dxf>
    <dxf>
      <alignment vertical="center" textRotation="0" wrapText="0" indent="0" justifyLastLine="0" shrinkToFit="0" readingOrder="0"/>
    </dxf>
    <dxf>
      <alignment horizontal="left" vertical="bottom" textRotation="0" wrapText="0" indent="0" justifyLastLine="0" shrinkToFit="0" readingOrder="0"/>
    </dxf>
    <dxf>
      <numFmt numFmtId="164" formatCode="mmm\ d\,\ yyyy"/>
    </dxf>
    <dxf>
      <numFmt numFmtId="164" formatCode="mmm\ d\,\ yyyy"/>
    </dxf>
    <dxf>
      <font>
        <b/>
        <i val="0"/>
        <color rgb="FFFFFFFF"/>
      </font>
      <fill>
        <patternFill>
          <bgColor rgb="FF1F3A5F"/>
        </patternFill>
      </fill>
    </dxf>
    <dxf>
      <font>
        <color rgb="FF1F2937"/>
      </font>
      <fill>
        <patternFill>
          <bgColor rgb="FFF5F7FA"/>
        </patternFill>
      </fill>
      <border>
        <bottom style="thin">
          <color rgb="FFE2E8F0"/>
        </bottom>
        <horizontal style="thin">
          <color rgb="FFE2E8F0"/>
        </horizontal>
      </border>
    </dxf>
  </dxfs>
  <tableStyles count="1" defaultTableStyle="TableStyleMedium2" defaultPivotStyle="PivotStyleLight16">
    <tableStyle name="AZG Table" pivot="0" table="0" count="2" xr9:uid="{A2000176-35D8-4FC9-8680-BCB2C491144B}">
      <tableStyleElement type="wholeTable" dxfId="19"/>
      <tableStyleElement type="headerRow" dxfId="1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09CA55-1D5B-4171-95B2-225A5B757F40}" name="Tasks" displayName="Tasks" ref="A1:K43" totalsRowShown="0" headerRowDxfId="14">
  <autoFilter ref="A1:K43" xr:uid="{C309CA55-1D5B-4171-95B2-225A5B757F40}"/>
  <tableColumns count="11">
    <tableColumn id="1" xr3:uid="{95AE37A2-8FAF-401A-B1E7-3C4D9F4C769C}" name="ID" dataDxfId="15"/>
    <tableColumn id="2" xr3:uid="{7C6E9FE7-90F0-4387-AA2D-FFB5CBE04370}" name="Task"/>
    <tableColumn id="3" xr3:uid="{D26EEC67-5C02-42A3-9CD5-9586411A4B4F}" name="Owner"/>
    <tableColumn id="4" xr3:uid="{6CC9D32B-6B50-4C3A-9D8F-EAF44DE4BC33}" name="Department"/>
    <tableColumn id="5" xr3:uid="{57DD70EF-1F9B-44E5-A5F3-9A29FFD7F595}" name="Status"/>
    <tableColumn id="6" xr3:uid="{9ED822FD-A86B-4DA2-BE22-0869F8E3A98E}" name="Priority"/>
    <tableColumn id="7" xr3:uid="{0E7840EE-FBBE-42DE-BC77-A61A12EA26FA}" name="Start" dataDxfId="17"/>
    <tableColumn id="8" xr3:uid="{60854EE4-9596-44B4-9B30-43C6545612F8}" name="Due" dataDxfId="16"/>
    <tableColumn id="9" xr3:uid="{94837B56-72C6-47E5-88CD-4FE62E94847D}" name="% Complete" dataDxfId="13"/>
    <tableColumn id="10" xr3:uid="{5EB4190D-2789-47DC-ADDE-D5641105789D}" name="Year" dataDxfId="12">
      <calculatedColumnFormula>IF(Tasks[[#This Row],[Due]]="","",YEAR(Tasks[[#This Row],[Due]]))</calculatedColumnFormula>
    </tableColumn>
    <tableColumn id="11" xr3:uid="{28387B19-2D1A-41E3-AE15-9A1E0CB32EB6}" name="Notes"/>
  </tableColumns>
  <tableStyleInfo name="AZG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28430-7EC2-42C2-B6D5-BD508157B9BC}">
  <sheetPr>
    <tabColor rgb="FF1F3A5F"/>
    <pageSetUpPr fitToPage="1"/>
  </sheetPr>
  <dimension ref="A1:R40"/>
  <sheetViews>
    <sheetView showGridLines="0" tabSelected="1" workbookViewId="0">
      <pane ySplit="6" topLeftCell="A7" activePane="bottomLeft" state="frozen"/>
      <selection pane="bottomLeft" activeCell="C5" sqref="C5"/>
    </sheetView>
  </sheetViews>
  <sheetFormatPr defaultRowHeight="15" x14ac:dyDescent="0.25"/>
  <cols>
    <col min="1" max="1" width="2.7109375" customWidth="1"/>
    <col min="2" max="2" width="9.7109375" customWidth="1"/>
    <col min="3" max="3" width="27.7109375" customWidth="1"/>
    <col min="4" max="4" width="11.7109375" customWidth="1"/>
    <col min="5" max="5" width="12.7109375" customWidth="1"/>
    <col min="6" max="6" width="13.7109375" customWidth="1"/>
    <col min="7" max="7" width="10.7109375" customWidth="1"/>
    <col min="8" max="8" width="7.7109375" customWidth="1"/>
    <col min="9" max="9" width="9.7109375" customWidth="1"/>
    <col min="10" max="10" width="10.7109375" customWidth="1"/>
    <col min="11" max="11" width="3.7109375" customWidth="1"/>
    <col min="12" max="12" width="10.7109375" customWidth="1"/>
    <col min="13" max="13" width="26.7109375" customWidth="1"/>
    <col min="14" max="14" width="12.7109375" customWidth="1"/>
    <col min="15" max="15" width="10.7109375" customWidth="1"/>
    <col min="16" max="16" width="6.7109375" customWidth="1"/>
    <col min="17" max="17" width="8.7109375" customWidth="1"/>
    <col min="18" max="18" width="2.7109375" customWidth="1"/>
  </cols>
  <sheetData>
    <row r="1" spans="1:18" ht="8.1" customHeight="1" x14ac:dyDescent="0.25">
      <c r="A1" s="6"/>
      <c r="B1" s="6"/>
      <c r="C1" s="6"/>
      <c r="D1" s="6"/>
      <c r="E1" s="6"/>
      <c r="F1" s="6"/>
      <c r="G1" s="6"/>
      <c r="H1" s="6"/>
      <c r="I1" s="6"/>
      <c r="J1" s="6"/>
      <c r="K1" s="6"/>
      <c r="L1" s="6"/>
      <c r="M1" s="6"/>
      <c r="N1" s="6"/>
      <c r="O1" s="6"/>
      <c r="P1" s="6"/>
      <c r="Q1" s="6"/>
      <c r="R1" s="6"/>
    </row>
    <row r="2" spans="1:18" ht="30" customHeight="1" x14ac:dyDescent="0.25">
      <c r="A2" s="6"/>
      <c r="B2" s="15" t="s">
        <v>133</v>
      </c>
      <c r="C2" s="6"/>
      <c r="D2" s="6"/>
      <c r="E2" s="6"/>
      <c r="F2" s="6"/>
      <c r="G2" s="6"/>
      <c r="H2" s="6"/>
      <c r="I2" s="6"/>
      <c r="J2" s="6"/>
      <c r="K2" s="6"/>
      <c r="L2" s="6"/>
      <c r="M2" s="6"/>
      <c r="N2" s="6"/>
      <c r="O2" s="6"/>
      <c r="P2" s="6"/>
      <c r="Q2" s="6"/>
      <c r="R2" s="6"/>
    </row>
    <row r="3" spans="1:18" x14ac:dyDescent="0.25">
      <c r="A3" s="6"/>
      <c r="B3" s="16" t="str">
        <f ca="1">"As of "&amp;TEXT(TODAY(),"ddd, mmm d, yyyy")&amp;"   |   Pick an owner, status or year: the whole page follows."</f>
        <v>As of Tue, Oct 6, 2026   |   Pick an owner, status or year: the whole page follows.</v>
      </c>
      <c r="C3" s="6"/>
      <c r="D3" s="6"/>
      <c r="E3" s="6"/>
      <c r="F3" s="6"/>
      <c r="G3" s="6"/>
      <c r="H3" s="6"/>
      <c r="I3" s="6"/>
      <c r="J3" s="6"/>
      <c r="K3" s="6"/>
      <c r="L3" s="6"/>
      <c r="M3" s="6"/>
      <c r="N3" s="6"/>
      <c r="O3" s="6"/>
      <c r="P3" s="6"/>
      <c r="Q3" s="6"/>
      <c r="R3" s="6"/>
    </row>
    <row r="4" spans="1:18" ht="6" customHeight="1" x14ac:dyDescent="0.25">
      <c r="A4" s="6"/>
      <c r="B4" s="6"/>
      <c r="C4" s="6"/>
      <c r="D4" s="6"/>
      <c r="E4" s="6"/>
      <c r="F4" s="6"/>
      <c r="G4" s="6"/>
      <c r="H4" s="6"/>
      <c r="I4" s="6"/>
      <c r="J4" s="6"/>
      <c r="K4" s="6"/>
      <c r="L4" s="6"/>
      <c r="M4" s="6"/>
      <c r="N4" s="6"/>
      <c r="O4" s="6"/>
      <c r="P4" s="6"/>
      <c r="Q4" s="6"/>
      <c r="R4" s="6"/>
    </row>
    <row r="5" spans="1:18" ht="21.95" customHeight="1" x14ac:dyDescent="0.25">
      <c r="A5" s="6"/>
      <c r="B5" s="17" t="s">
        <v>2</v>
      </c>
      <c r="C5" s="19" t="s">
        <v>125</v>
      </c>
      <c r="D5" s="17" t="s">
        <v>4</v>
      </c>
      <c r="E5" s="20" t="s">
        <v>125</v>
      </c>
      <c r="F5" s="20"/>
      <c r="G5" s="17" t="s">
        <v>9</v>
      </c>
      <c r="H5" s="20" t="s">
        <v>125</v>
      </c>
      <c r="I5" s="20"/>
      <c r="J5" s="6"/>
      <c r="K5" s="6"/>
      <c r="L5" s="21" t="str">
        <f>IF(AND(OR(SelOwner="(All)",SelOwner=""),OR(SelStatus="(All)",SelStatus=""),OR(SelYear="(All)",SelYear="")),"Showing all tasks","Filtered view: choose (All) to clear")</f>
        <v>Showing all tasks</v>
      </c>
      <c r="M5" s="6"/>
      <c r="N5" s="6"/>
      <c r="O5" s="6"/>
      <c r="P5" s="6"/>
      <c r="Q5" s="6"/>
      <c r="R5" s="6"/>
    </row>
    <row r="6" spans="1:18" ht="9.9499999999999993" customHeight="1" x14ac:dyDescent="0.25">
      <c r="A6" s="6"/>
      <c r="B6" s="6"/>
      <c r="C6" s="6"/>
      <c r="D6" s="6"/>
      <c r="E6" s="6"/>
      <c r="F6" s="6"/>
      <c r="G6" s="6"/>
      <c r="H6" s="6"/>
      <c r="I6" s="6"/>
      <c r="J6" s="6"/>
      <c r="K6" s="6"/>
      <c r="L6" s="6"/>
      <c r="M6" s="6"/>
      <c r="N6" s="6"/>
      <c r="O6" s="6"/>
      <c r="P6" s="6"/>
      <c r="Q6" s="6"/>
      <c r="R6" s="6"/>
    </row>
    <row r="7" spans="1:18" ht="18" customHeight="1" x14ac:dyDescent="0.25">
      <c r="A7" s="6"/>
      <c r="B7" s="23" t="s">
        <v>134</v>
      </c>
      <c r="C7" s="22"/>
      <c r="D7" s="26" t="s">
        <v>135</v>
      </c>
      <c r="E7" s="22"/>
      <c r="F7" s="22"/>
      <c r="G7" s="29" t="s">
        <v>136</v>
      </c>
      <c r="H7" s="22"/>
      <c r="I7" s="22"/>
      <c r="J7" s="22"/>
      <c r="K7" s="6"/>
      <c r="L7" s="23" t="s">
        <v>137</v>
      </c>
      <c r="M7" s="22"/>
      <c r="N7" s="23" t="s">
        <v>138</v>
      </c>
      <c r="O7" s="22"/>
      <c r="P7" s="22"/>
      <c r="Q7" s="22"/>
      <c r="R7" s="6"/>
    </row>
    <row r="8" spans="1:18" ht="26.1" customHeight="1" x14ac:dyDescent="0.25">
      <c r="A8" s="6"/>
      <c r="B8" s="25">
        <f>SUMPRODUCT(InScope)</f>
        <v>42</v>
      </c>
      <c r="C8" s="24"/>
      <c r="D8" s="28">
        <f ca="1">SUMPRODUCT(CondOverdue)</f>
        <v>7</v>
      </c>
      <c r="E8" s="27"/>
      <c r="F8" s="27"/>
      <c r="G8" s="31">
        <f ca="1">SUMPRODUCT(CondFocus)</f>
        <v>6</v>
      </c>
      <c r="H8" s="30"/>
      <c r="I8" s="30"/>
      <c r="J8" s="30"/>
      <c r="K8" s="6"/>
      <c r="L8" s="25">
        <f>SUMPRODUCT(InScope*(Tasks[Status]="In progress"))</f>
        <v>15</v>
      </c>
      <c r="M8" s="24"/>
      <c r="N8" s="25">
        <f>SUMPRODUCT(InScope*(Tasks[Status]="Done"))</f>
        <v>9</v>
      </c>
      <c r="O8" s="24"/>
      <c r="P8" s="24"/>
      <c r="Q8" s="24"/>
      <c r="R8" s="6"/>
    </row>
    <row r="9" spans="1:18" ht="26.1" customHeight="1" x14ac:dyDescent="0.25">
      <c r="A9" s="6"/>
      <c r="B9" s="25"/>
      <c r="C9" s="24"/>
      <c r="D9" s="28"/>
      <c r="E9" s="27"/>
      <c r="F9" s="27"/>
      <c r="G9" s="31"/>
      <c r="H9" s="30"/>
      <c r="I9" s="30"/>
      <c r="J9" s="30"/>
      <c r="K9" s="6"/>
      <c r="L9" s="25"/>
      <c r="M9" s="24"/>
      <c r="N9" s="25"/>
      <c r="O9" s="24"/>
      <c r="P9" s="24"/>
      <c r="Q9" s="24"/>
      <c r="R9" s="6"/>
    </row>
    <row r="10" spans="1:18" ht="12" customHeight="1" x14ac:dyDescent="0.25">
      <c r="A10" s="6"/>
      <c r="B10" s="6"/>
      <c r="C10" s="6"/>
      <c r="D10" s="6"/>
      <c r="E10" s="6"/>
      <c r="F10" s="6"/>
      <c r="G10" s="6"/>
      <c r="H10" s="6"/>
      <c r="I10" s="6"/>
      <c r="J10" s="6"/>
      <c r="K10" s="6"/>
      <c r="L10" s="6"/>
      <c r="M10" s="6"/>
      <c r="N10" s="6"/>
      <c r="O10" s="6"/>
      <c r="P10" s="6"/>
      <c r="Q10" s="6"/>
      <c r="R10" s="6"/>
    </row>
    <row r="11" spans="1:18" ht="18" customHeight="1" x14ac:dyDescent="0.25">
      <c r="A11" s="6"/>
      <c r="B11" s="32" t="s">
        <v>139</v>
      </c>
      <c r="C11" s="6"/>
      <c r="D11" s="6"/>
      <c r="E11" s="21" t="str">
        <f>"Open tasks first, then by due date   |   "&amp;KpiTotal&amp;" match the filters"</f>
        <v>Open tasks first, then by due date   |   42 match the filters</v>
      </c>
      <c r="F11" s="6"/>
      <c r="G11" s="6"/>
      <c r="H11" s="6"/>
      <c r="I11" s="6"/>
      <c r="J11" s="6"/>
      <c r="K11" s="6"/>
      <c r="L11" s="32" t="s">
        <v>145</v>
      </c>
      <c r="M11" s="6"/>
      <c r="N11" s="21" t="s">
        <v>146</v>
      </c>
      <c r="O11" s="6"/>
      <c r="P11" s="6"/>
      <c r="Q11" s="6"/>
      <c r="R11" s="6"/>
    </row>
    <row r="12" spans="1:18" ht="18" customHeight="1" x14ac:dyDescent="0.25">
      <c r="A12" s="6"/>
      <c r="B12" s="18" t="s">
        <v>7</v>
      </c>
      <c r="C12" s="18" t="s">
        <v>1</v>
      </c>
      <c r="D12" s="18" t="s">
        <v>140</v>
      </c>
      <c r="E12" s="18" t="s">
        <v>2</v>
      </c>
      <c r="F12" s="18" t="s">
        <v>4</v>
      </c>
      <c r="G12" s="18" t="s">
        <v>5</v>
      </c>
      <c r="H12" s="34" t="s">
        <v>141</v>
      </c>
      <c r="I12" s="18"/>
      <c r="J12" s="18" t="s">
        <v>3</v>
      </c>
      <c r="K12" s="6"/>
      <c r="L12" s="18" t="s">
        <v>7</v>
      </c>
      <c r="M12" s="18" t="s">
        <v>1</v>
      </c>
      <c r="N12" s="18" t="s">
        <v>2</v>
      </c>
      <c r="O12" s="18" t="s">
        <v>5</v>
      </c>
      <c r="P12" s="34" t="s">
        <v>141</v>
      </c>
      <c r="Q12" s="18"/>
      <c r="R12" s="6"/>
    </row>
    <row r="13" spans="1:18" ht="18" customHeight="1" x14ac:dyDescent="0.25">
      <c r="A13" s="6"/>
      <c r="B13" s="33">
        <f>IF(Lists!$Q4="","",IF(MOD(INT(Lists!$P4),100000)=99999,"",MOD(INT(Lists!$P4),100000)))</f>
        <v>46286</v>
      </c>
      <c r="C13" s="6" t="str">
        <f>IF(Lists!$Q4="","No tasks match these filters",INDEX(Tasks[Task],Lists!$Q4)&amp;"")</f>
        <v>Trade show booth order</v>
      </c>
      <c r="D13" s="9" t="str">
        <f ca="1">IF(OR(Lists!$Q4="",B13="",F13="Done"),"",IF(B13&lt;TODAY(),"OVERDUE",IF(B13&lt;=TODAY()+6,"This week","")))</f>
        <v>OVERDUE</v>
      </c>
      <c r="E13" s="6" t="str">
        <f>IF(Lists!$Q4="","",INDEX(Tasks[Owner],Lists!$Q4)&amp;"")</f>
        <v>Casey L.</v>
      </c>
      <c r="F13" s="6" t="str">
        <f>IF(Lists!$Q4="","",INDEX(Tasks[Status],Lists!$Q4)&amp;"")</f>
        <v>Blocked</v>
      </c>
      <c r="G13" s="6" t="str">
        <f>IF(Lists!$Q4="","",INDEX(Tasks[Priority],Lists!$Q4)&amp;"")</f>
        <v>Medium</v>
      </c>
      <c r="H13" s="8">
        <f>IF(Lists!$Q4="","",INDEX(Tasks[% Complete],Lists!$Q4))</f>
        <v>0.3</v>
      </c>
      <c r="I13" s="6">
        <f>IF(H13="","",H13)</f>
        <v>0.3</v>
      </c>
      <c r="J13" s="6" t="str">
        <f>IF(Lists!$Q4="","",INDEX(Tasks[Department],Lists!$Q4)&amp;"")</f>
        <v>Sales</v>
      </c>
      <c r="K13" s="6"/>
      <c r="L13" s="33">
        <f ca="1">IF(Lists!$I4="","",INT(Lists!$H4))</f>
        <v>46301</v>
      </c>
      <c r="M13" s="6" t="str">
        <f ca="1">IF(Lists!$I4="","Nothing due in the next 7 days",INDEX(Tasks[Task],Lists!$I4)&amp;"")</f>
        <v>Payroll calendar 2027</v>
      </c>
      <c r="N13" s="6" t="str">
        <f ca="1">IF(Lists!$I4="","",INDEX(Tasks[Owner],Lists!$I4)&amp;"")</f>
        <v>Jordan M.</v>
      </c>
      <c r="O13" s="6" t="str">
        <f ca="1">IF(Lists!$I4="","",INDEX(Tasks[Priority],Lists!$I4)&amp;"")</f>
        <v>Medium</v>
      </c>
      <c r="P13" s="8">
        <f ca="1">IF(Lists!$I4="","",INDEX(Tasks[% Complete],Lists!$I4))</f>
        <v>0.9</v>
      </c>
      <c r="Q13" s="6">
        <f ca="1">IF(P13="","",P13)</f>
        <v>0.9</v>
      </c>
      <c r="R13" s="6"/>
    </row>
    <row r="14" spans="1:18" ht="18" customHeight="1" x14ac:dyDescent="0.25">
      <c r="A14" s="6"/>
      <c r="B14" s="33">
        <f>IF(Lists!$Q5="","",IF(MOD(INT(Lists!$P5),100000)=99999,"",MOD(INT(Lists!$P5),100000)))</f>
        <v>46289</v>
      </c>
      <c r="C14" s="6" t="str">
        <f>IF(Lists!$Q5="","",INDEX(Tasks[Task],Lists!$Q5)&amp;"")</f>
        <v>Vendor contract renewal</v>
      </c>
      <c r="D14" s="9" t="str">
        <f ca="1">IF(OR(Lists!$Q5="",B14="",F14="Done"),"",IF(B14&lt;TODAY(),"OVERDUE",IF(B14&lt;=TODAY()+6,"This week","")))</f>
        <v>OVERDUE</v>
      </c>
      <c r="E14" s="6" t="str">
        <f>IF(Lists!$Q5="","",INDEX(Tasks[Owner],Lists!$Q5)&amp;"")</f>
        <v>Taylor R.</v>
      </c>
      <c r="F14" s="6" t="str">
        <f>IF(Lists!$Q5="","",INDEX(Tasks[Status],Lists!$Q5)&amp;"")</f>
        <v>In progress</v>
      </c>
      <c r="G14" s="6" t="str">
        <f>IF(Lists!$Q5="","",INDEX(Tasks[Priority],Lists!$Q5)&amp;"")</f>
        <v>High</v>
      </c>
      <c r="H14" s="8">
        <f>IF(Lists!$Q5="","",INDEX(Tasks[% Complete],Lists!$Q5))</f>
        <v>0.7</v>
      </c>
      <c r="I14" s="6">
        <f>IF(H14="","",H14)</f>
        <v>0.7</v>
      </c>
      <c r="J14" s="6" t="str">
        <f>IF(Lists!$Q5="","",INDEX(Tasks[Department],Lists!$Q5)&amp;"")</f>
        <v>Operations</v>
      </c>
      <c r="K14" s="6"/>
      <c r="L14" s="33">
        <f ca="1">IF(Lists!$I5="","",INT(Lists!$H5))</f>
        <v>46302</v>
      </c>
      <c r="M14" s="6" t="str">
        <f ca="1">IF(Lists!$I5="","",INDEX(Tasks[Task],Lists!$I5)&amp;"")</f>
        <v>Warehouse rack labels</v>
      </c>
      <c r="N14" s="6" t="str">
        <f ca="1">IF(Lists!$I5="","",INDEX(Tasks[Owner],Lists!$I5)&amp;"")</f>
        <v>Avery K.</v>
      </c>
      <c r="O14" s="6" t="str">
        <f ca="1">IF(Lists!$I5="","",INDEX(Tasks[Priority],Lists!$I5)&amp;"")</f>
        <v>Low</v>
      </c>
      <c r="P14" s="8">
        <f ca="1">IF(Lists!$I5="","",INDEX(Tasks[% Complete],Lists!$I5))</f>
        <v>0.75</v>
      </c>
      <c r="Q14" s="6">
        <f ca="1">IF(P14="","",P14)</f>
        <v>0.75</v>
      </c>
      <c r="R14" s="6"/>
    </row>
    <row r="15" spans="1:18" ht="18" customHeight="1" x14ac:dyDescent="0.25">
      <c r="A15" s="6"/>
      <c r="B15" s="33">
        <f>IF(Lists!$Q6="","",IF(MOD(INT(Lists!$P6),100000)=99999,"",MOD(INT(Lists!$P6),100000)))</f>
        <v>46293</v>
      </c>
      <c r="C15" s="6" t="str">
        <f>IF(Lists!$Q6="","",INDEX(Tasks[Task],Lists!$Q6)&amp;"")</f>
        <v>Customer survey mailing</v>
      </c>
      <c r="D15" s="9" t="str">
        <f ca="1">IF(OR(Lists!$Q6="",B15="",F15="Done"),"",IF(B15&lt;TODAY(),"OVERDUE",IF(B15&lt;=TODAY()+6,"This week","")))</f>
        <v>OVERDUE</v>
      </c>
      <c r="E15" s="6" t="str">
        <f>IF(Lists!$Q6="","",INDEX(Tasks[Owner],Lists!$Q6)&amp;"")</f>
        <v>Casey L.</v>
      </c>
      <c r="F15" s="6" t="str">
        <f>IF(Lists!$Q6="","",INDEX(Tasks[Status],Lists!$Q6)&amp;"")</f>
        <v>In progress</v>
      </c>
      <c r="G15" s="6" t="str">
        <f>IF(Lists!$Q6="","",INDEX(Tasks[Priority],Lists!$Q6)&amp;"")</f>
        <v>Medium</v>
      </c>
      <c r="H15" s="8">
        <f>IF(Lists!$Q6="","",INDEX(Tasks[% Complete],Lists!$Q6))</f>
        <v>0.6</v>
      </c>
      <c r="I15" s="6">
        <f>IF(H15="","",H15)</f>
        <v>0.6</v>
      </c>
      <c r="J15" s="6" t="str">
        <f>IF(Lists!$Q6="","",INDEX(Tasks[Department],Lists!$Q6)&amp;"")</f>
        <v>Sales</v>
      </c>
      <c r="K15" s="6"/>
      <c r="L15" s="33">
        <f ca="1">IF(Lists!$I6="","",INT(Lists!$H6))</f>
        <v>46303</v>
      </c>
      <c r="M15" s="6" t="str">
        <f ca="1">IF(Lists!$I6="","",INDEX(Tasks[Task],Lists!$I6)&amp;"")</f>
        <v>Quote follow-up calls</v>
      </c>
      <c r="N15" s="6" t="str">
        <f ca="1">IF(Lists!$I6="","",INDEX(Tasks[Owner],Lists!$I6)&amp;"")</f>
        <v>Casey L.</v>
      </c>
      <c r="O15" s="6" t="str">
        <f ca="1">IF(Lists!$I6="","",INDEX(Tasks[Priority],Lists!$I6)&amp;"")</f>
        <v>High</v>
      </c>
      <c r="P15" s="8">
        <f ca="1">IF(Lists!$I6="","",INDEX(Tasks[% Complete],Lists!$I6))</f>
        <v>0</v>
      </c>
      <c r="Q15" s="6">
        <f ca="1">IF(P15="","",P15)</f>
        <v>0</v>
      </c>
      <c r="R15" s="6"/>
    </row>
    <row r="16" spans="1:18" ht="18" customHeight="1" x14ac:dyDescent="0.25">
      <c r="A16" s="6"/>
      <c r="B16" s="33">
        <f>IF(Lists!$Q7="","",IF(MOD(INT(Lists!$P7),100000)=99999,"",MOD(INT(Lists!$P7),100000)))</f>
        <v>46295</v>
      </c>
      <c r="C16" s="6" t="str">
        <f>IF(Lists!$Q7="","",INDEX(Tasks[Task],Lists!$Q7)&amp;"")</f>
        <v>Backup system test</v>
      </c>
      <c r="D16" s="9" t="str">
        <f ca="1">IF(OR(Lists!$Q7="",B16="",F16="Done"),"",IF(B16&lt;TODAY(),"OVERDUE",IF(B16&lt;=TODAY()+6,"This week","")))</f>
        <v>OVERDUE</v>
      </c>
      <c r="E16" s="6" t="str">
        <f>IF(Lists!$Q7="","",INDEX(Tasks[Owner],Lists!$Q7)&amp;"")</f>
        <v>Riley P.</v>
      </c>
      <c r="F16" s="6" t="str">
        <f>IF(Lists!$Q7="","",INDEX(Tasks[Status],Lists!$Q7)&amp;"")</f>
        <v>Blocked</v>
      </c>
      <c r="G16" s="6" t="str">
        <f>IF(Lists!$Q7="","",INDEX(Tasks[Priority],Lists!$Q7)&amp;"")</f>
        <v>High</v>
      </c>
      <c r="H16" s="8">
        <f>IF(Lists!$Q7="","",INDEX(Tasks[% Complete],Lists!$Q7))</f>
        <v>0.4</v>
      </c>
      <c r="I16" s="6">
        <f>IF(H16="","",H16)</f>
        <v>0.4</v>
      </c>
      <c r="J16" s="6" t="str">
        <f>IF(Lists!$Q7="","",INDEX(Tasks[Department],Lists!$Q7)&amp;"")</f>
        <v>IT</v>
      </c>
      <c r="K16" s="6"/>
      <c r="L16" s="33">
        <f ca="1">IF(Lists!$I7="","",INT(Lists!$H7))</f>
        <v>46304</v>
      </c>
      <c r="M16" s="6" t="str">
        <f ca="1">IF(Lists!$I7="","",INDEX(Tasks[Task],Lists!$I7)&amp;"")</f>
        <v>Laptop refresh order</v>
      </c>
      <c r="N16" s="6" t="str">
        <f ca="1">IF(Lists!$I7="","",INDEX(Tasks[Owner],Lists!$I7)&amp;"")</f>
        <v>Riley P.</v>
      </c>
      <c r="O16" s="6" t="str">
        <f ca="1">IF(Lists!$I7="","",INDEX(Tasks[Priority],Lists!$I7)&amp;"")</f>
        <v>Medium</v>
      </c>
      <c r="P16" s="8">
        <f ca="1">IF(Lists!$I7="","",INDEX(Tasks[% Complete],Lists!$I7))</f>
        <v>0.55000000000000004</v>
      </c>
      <c r="Q16" s="6">
        <f ca="1">IF(P16="","",P16)</f>
        <v>0.55000000000000004</v>
      </c>
      <c r="R16" s="6"/>
    </row>
    <row r="17" spans="1:18" ht="18" customHeight="1" x14ac:dyDescent="0.25">
      <c r="A17" s="6"/>
      <c r="B17" s="33">
        <f>IF(Lists!$Q8="","",IF(MOD(INT(Lists!$P8),100000)=99999,"",MOD(INT(Lists!$P8),100000)))</f>
        <v>46297</v>
      </c>
      <c r="C17" s="6" t="str">
        <f>IF(Lists!$Q8="","",INDEX(Tasks[Task],Lists!$Q8)&amp;"")</f>
        <v>Expense policy update</v>
      </c>
      <c r="D17" s="9" t="str">
        <f ca="1">IF(OR(Lists!$Q8="",B17="",F17="Done"),"",IF(B17&lt;TODAY(),"OVERDUE",IF(B17&lt;=TODAY()+6,"This week","")))</f>
        <v>OVERDUE</v>
      </c>
      <c r="E17" s="6" t="str">
        <f>IF(Lists!$Q8="","",INDEX(Tasks[Owner],Lists!$Q8)&amp;"")</f>
        <v>Jordan M.</v>
      </c>
      <c r="F17" s="6" t="str">
        <f>IF(Lists!$Q8="","",INDEX(Tasks[Status],Lists!$Q8)&amp;"")</f>
        <v>In progress</v>
      </c>
      <c r="G17" s="6" t="str">
        <f>IF(Lists!$Q8="","",INDEX(Tasks[Priority],Lists!$Q8)&amp;"")</f>
        <v>Medium</v>
      </c>
      <c r="H17" s="8">
        <f>IF(Lists!$Q8="","",INDEX(Tasks[% Complete],Lists!$Q8))</f>
        <v>0.8</v>
      </c>
      <c r="I17" s="6">
        <f>IF(H17="","",H17)</f>
        <v>0.8</v>
      </c>
      <c r="J17" s="6" t="str">
        <f>IF(Lists!$Q8="","",INDEX(Tasks[Department],Lists!$Q8)&amp;"")</f>
        <v>Finance</v>
      </c>
      <c r="K17" s="6"/>
      <c r="L17" s="33">
        <f ca="1">IF(Lists!$I8="","",INT(Lists!$H8))</f>
        <v>46306</v>
      </c>
      <c r="M17" s="6" t="str">
        <f ca="1">IF(Lists!$I8="","",INDEX(Tasks[Task],Lists!$I8)&amp;"")</f>
        <v>Benefits enrollment memo</v>
      </c>
      <c r="N17" s="6" t="str">
        <f ca="1">IF(Lists!$I8="","",INDEX(Tasks[Owner],Lists!$I8)&amp;"")</f>
        <v>Morgan T.</v>
      </c>
      <c r="O17" s="6" t="str">
        <f ca="1">IF(Lists!$I8="","",INDEX(Tasks[Priority],Lists!$I8)&amp;"")</f>
        <v>High</v>
      </c>
      <c r="P17" s="8">
        <f ca="1">IF(Lists!$I8="","",INDEX(Tasks[% Complete],Lists!$I8))</f>
        <v>0.35</v>
      </c>
      <c r="Q17" s="6">
        <f ca="1">IF(P17="","",P17)</f>
        <v>0.35</v>
      </c>
      <c r="R17" s="6"/>
    </row>
    <row r="18" spans="1:18" ht="18" customHeight="1" x14ac:dyDescent="0.25">
      <c r="A18" s="6"/>
      <c r="B18" s="33">
        <f>IF(Lists!$Q9="","",IF(MOD(INT(Lists!$P9),100000)=99999,"",MOD(INT(Lists!$P9),100000)))</f>
        <v>46299</v>
      </c>
      <c r="C18" s="6" t="str">
        <f>IF(Lists!$Q9="","",INDEX(Tasks[Task],Lists!$Q9)&amp;"")</f>
        <v>Safety training sign-off</v>
      </c>
      <c r="D18" s="9" t="str">
        <f ca="1">IF(OR(Lists!$Q9="",B18="",F18="Done"),"",IF(B18&lt;TODAY(),"OVERDUE",IF(B18&lt;=TODAY()+6,"This week","")))</f>
        <v>OVERDUE</v>
      </c>
      <c r="E18" s="6" t="str">
        <f>IF(Lists!$Q9="","",INDEX(Tasks[Owner],Lists!$Q9)&amp;"")</f>
        <v>Morgan T.</v>
      </c>
      <c r="F18" s="6" t="str">
        <f>IF(Lists!$Q9="","",INDEX(Tasks[Status],Lists!$Q9)&amp;"")</f>
        <v>Not started</v>
      </c>
      <c r="G18" s="6" t="str">
        <f>IF(Lists!$Q9="","",INDEX(Tasks[Priority],Lists!$Q9)&amp;"")</f>
        <v>High</v>
      </c>
      <c r="H18" s="8">
        <f>IF(Lists!$Q9="","",INDEX(Tasks[% Complete],Lists!$Q9))</f>
        <v>0</v>
      </c>
      <c r="I18" s="6">
        <f>IF(H18="","",H18)</f>
        <v>0</v>
      </c>
      <c r="J18" s="6" t="str">
        <f>IF(Lists!$Q9="","",INDEX(Tasks[Department],Lists!$Q9)&amp;"")</f>
        <v>HR</v>
      </c>
      <c r="K18" s="6"/>
      <c r="L18" s="33">
        <f ca="1">IF(Lists!$I9="","",INT(Lists!$H9))</f>
        <v>46307</v>
      </c>
      <c r="M18" s="6" t="str">
        <f ca="1">IF(Lists!$I9="","",INDEX(Tasks[Task],Lists!$I9)&amp;"")</f>
        <v>Fleet insurance renewal</v>
      </c>
      <c r="N18" s="6" t="str">
        <f ca="1">IF(Lists!$I9="","",INDEX(Tasks[Owner],Lists!$I9)&amp;"")</f>
        <v>Taylor R.</v>
      </c>
      <c r="O18" s="6" t="str">
        <f ca="1">IF(Lists!$I9="","",INDEX(Tasks[Priority],Lists!$I9)&amp;"")</f>
        <v>High</v>
      </c>
      <c r="P18" s="8">
        <f ca="1">IF(Lists!$I9="","",INDEX(Tasks[% Complete],Lists!$I9))</f>
        <v>0</v>
      </c>
      <c r="Q18" s="6">
        <f ca="1">IF(P18="","",P18)</f>
        <v>0</v>
      </c>
      <c r="R18" s="6"/>
    </row>
    <row r="19" spans="1:18" ht="18" customHeight="1" x14ac:dyDescent="0.25">
      <c r="A19" s="6"/>
      <c r="B19" s="33">
        <f>IF(Lists!$Q10="","",IF(MOD(INT(Lists!$P10),100000)=99999,"",MOD(INT(Lists!$P10),100000)))</f>
        <v>46300</v>
      </c>
      <c r="C19" s="6" t="str">
        <f>IF(Lists!$Q10="","",INDEX(Tasks[Task],Lists!$Q10)&amp;"")</f>
        <v>Forklift inspection</v>
      </c>
      <c r="D19" s="9" t="str">
        <f ca="1">IF(OR(Lists!$Q10="",B19="",F19="Done"),"",IF(B19&lt;TODAY(),"OVERDUE",IF(B19&lt;=TODAY()+6,"This week","")))</f>
        <v>OVERDUE</v>
      </c>
      <c r="E19" s="6" t="str">
        <f>IF(Lists!$Q10="","",INDEX(Tasks[Owner],Lists!$Q10)&amp;"")</f>
        <v>Avery K.</v>
      </c>
      <c r="F19" s="6" t="str">
        <f>IF(Lists!$Q10="","",INDEX(Tasks[Status],Lists!$Q10)&amp;"")</f>
        <v>In progress</v>
      </c>
      <c r="G19" s="6" t="str">
        <f>IF(Lists!$Q10="","",INDEX(Tasks[Priority],Lists!$Q10)&amp;"")</f>
        <v>High</v>
      </c>
      <c r="H19" s="8">
        <f>IF(Lists!$Q10="","",INDEX(Tasks[% Complete],Lists!$Q10))</f>
        <v>0.5</v>
      </c>
      <c r="I19" s="6">
        <f>IF(H19="","",H19)</f>
        <v>0.5</v>
      </c>
      <c r="J19" s="6" t="str">
        <f>IF(Lists!$Q10="","",INDEX(Tasks[Department],Lists!$Q10)&amp;"")</f>
        <v>Operations</v>
      </c>
      <c r="K19" s="6"/>
      <c r="L19" s="33" t="str">
        <f ca="1">IF(Lists!$I10="","",INT(Lists!$H10))</f>
        <v/>
      </c>
      <c r="M19" s="6" t="str">
        <f ca="1">IF(Lists!$I10="","",INDEX(Tasks[Task],Lists!$I10)&amp;"")</f>
        <v/>
      </c>
      <c r="N19" s="6" t="str">
        <f ca="1">IF(Lists!$I10="","",INDEX(Tasks[Owner],Lists!$I10)&amp;"")</f>
        <v/>
      </c>
      <c r="O19" s="6" t="str">
        <f ca="1">IF(Lists!$I10="","",INDEX(Tasks[Priority],Lists!$I10)&amp;"")</f>
        <v/>
      </c>
      <c r="P19" s="8" t="str">
        <f ca="1">IF(Lists!$I10="","",INDEX(Tasks[% Complete],Lists!$I10))</f>
        <v/>
      </c>
      <c r="Q19" s="6" t="str">
        <f ca="1">IF(P19="","",P19)</f>
        <v/>
      </c>
      <c r="R19" s="6"/>
    </row>
    <row r="20" spans="1:18" ht="18" customHeight="1" x14ac:dyDescent="0.25">
      <c r="A20" s="6"/>
      <c r="B20" s="33">
        <f>IF(Lists!$Q11="","",IF(MOD(INT(Lists!$P11),100000)=99999,"",MOD(INT(Lists!$P11),100000)))</f>
        <v>46301</v>
      </c>
      <c r="C20" s="6" t="str">
        <f>IF(Lists!$Q11="","",INDEX(Tasks[Task],Lists!$Q11)&amp;"")</f>
        <v>Payroll calendar 2027</v>
      </c>
      <c r="D20" s="9" t="str">
        <f ca="1">IF(OR(Lists!$Q11="",B20="",F20="Done"),"",IF(B20&lt;TODAY(),"OVERDUE",IF(B20&lt;=TODAY()+6,"This week","")))</f>
        <v>This week</v>
      </c>
      <c r="E20" s="6" t="str">
        <f>IF(Lists!$Q11="","",INDEX(Tasks[Owner],Lists!$Q11)&amp;"")</f>
        <v>Jordan M.</v>
      </c>
      <c r="F20" s="6" t="str">
        <f>IF(Lists!$Q11="","",INDEX(Tasks[Status],Lists!$Q11)&amp;"")</f>
        <v>In progress</v>
      </c>
      <c r="G20" s="6" t="str">
        <f>IF(Lists!$Q11="","",INDEX(Tasks[Priority],Lists!$Q11)&amp;"")</f>
        <v>Medium</v>
      </c>
      <c r="H20" s="8">
        <f>IF(Lists!$Q11="","",INDEX(Tasks[% Complete],Lists!$Q11))</f>
        <v>0.9</v>
      </c>
      <c r="I20" s="6">
        <f>IF(H20="","",H20)</f>
        <v>0.9</v>
      </c>
      <c r="J20" s="6" t="str">
        <f>IF(Lists!$Q11="","",INDEX(Tasks[Department],Lists!$Q11)&amp;"")</f>
        <v>Finance</v>
      </c>
      <c r="K20" s="6"/>
      <c r="L20" s="33" t="str">
        <f ca="1">IF(Lists!$I11="","",INT(Lists!$H11))</f>
        <v/>
      </c>
      <c r="M20" s="6" t="str">
        <f ca="1">IF(Lists!$I11="","",INDEX(Tasks[Task],Lists!$I11)&amp;"")</f>
        <v/>
      </c>
      <c r="N20" s="6" t="str">
        <f ca="1">IF(Lists!$I11="","",INDEX(Tasks[Owner],Lists!$I11)&amp;"")</f>
        <v/>
      </c>
      <c r="O20" s="6" t="str">
        <f ca="1">IF(Lists!$I11="","",INDEX(Tasks[Priority],Lists!$I11)&amp;"")</f>
        <v/>
      </c>
      <c r="P20" s="8" t="str">
        <f ca="1">IF(Lists!$I11="","",INDEX(Tasks[% Complete],Lists!$I11))</f>
        <v/>
      </c>
      <c r="Q20" s="6" t="str">
        <f ca="1">IF(P20="","",P20)</f>
        <v/>
      </c>
      <c r="R20" s="6"/>
    </row>
    <row r="21" spans="1:18" ht="18" customHeight="1" x14ac:dyDescent="0.25">
      <c r="A21" s="6"/>
      <c r="B21" s="33">
        <f>IF(Lists!$Q12="","",IF(MOD(INT(Lists!$P12),100000)=99999,"",MOD(INT(Lists!$P12),100000)))</f>
        <v>46302</v>
      </c>
      <c r="C21" s="6" t="str">
        <f>IF(Lists!$Q12="","",INDEX(Tasks[Task],Lists!$Q12)&amp;"")</f>
        <v>Warehouse rack labels</v>
      </c>
      <c r="D21" s="9" t="str">
        <f ca="1">IF(OR(Lists!$Q12="",B21="",F21="Done"),"",IF(B21&lt;TODAY(),"OVERDUE",IF(B21&lt;=TODAY()+6,"This week","")))</f>
        <v>This week</v>
      </c>
      <c r="E21" s="6" t="str">
        <f>IF(Lists!$Q12="","",INDEX(Tasks[Owner],Lists!$Q12)&amp;"")</f>
        <v>Avery K.</v>
      </c>
      <c r="F21" s="6" t="str">
        <f>IF(Lists!$Q12="","",INDEX(Tasks[Status],Lists!$Q12)&amp;"")</f>
        <v>In progress</v>
      </c>
      <c r="G21" s="6" t="str">
        <f>IF(Lists!$Q12="","",INDEX(Tasks[Priority],Lists!$Q12)&amp;"")</f>
        <v>Low</v>
      </c>
      <c r="H21" s="8">
        <f>IF(Lists!$Q12="","",INDEX(Tasks[% Complete],Lists!$Q12))</f>
        <v>0.75</v>
      </c>
      <c r="I21" s="6">
        <f>IF(H21="","",H21)</f>
        <v>0.75</v>
      </c>
      <c r="J21" s="6" t="str">
        <f>IF(Lists!$Q12="","",INDEX(Tasks[Department],Lists!$Q12)&amp;"")</f>
        <v>Operations</v>
      </c>
      <c r="K21" s="6"/>
      <c r="L21" s="21" t="str">
        <f ca="1">IF(KpiDueThisWeek&gt;8,"+ "&amp;(KpiDueThisWeek-8)&amp;" more not shown","")</f>
        <v/>
      </c>
      <c r="M21" s="6"/>
      <c r="N21" s="6"/>
      <c r="O21" s="6"/>
      <c r="P21" s="6"/>
      <c r="Q21" s="6"/>
      <c r="R21" s="6"/>
    </row>
    <row r="22" spans="1:18" ht="18" customHeight="1" x14ac:dyDescent="0.25">
      <c r="A22" s="6"/>
      <c r="B22" s="33">
        <f>IF(Lists!$Q13="","",IF(MOD(INT(Lists!$P13),100000)=99999,"",MOD(INT(Lists!$P13),100000)))</f>
        <v>46303</v>
      </c>
      <c r="C22" s="6" t="str">
        <f>IF(Lists!$Q13="","",INDEX(Tasks[Task],Lists!$Q13)&amp;"")</f>
        <v>Quote follow-up calls</v>
      </c>
      <c r="D22" s="9" t="str">
        <f ca="1">IF(OR(Lists!$Q13="",B22="",F22="Done"),"",IF(B22&lt;TODAY(),"OVERDUE",IF(B22&lt;=TODAY()+6,"This week","")))</f>
        <v>This week</v>
      </c>
      <c r="E22" s="6" t="str">
        <f>IF(Lists!$Q13="","",INDEX(Tasks[Owner],Lists!$Q13)&amp;"")</f>
        <v>Casey L.</v>
      </c>
      <c r="F22" s="6" t="str">
        <f>IF(Lists!$Q13="","",INDEX(Tasks[Status],Lists!$Q13)&amp;"")</f>
        <v>Not started</v>
      </c>
      <c r="G22" s="6" t="str">
        <f>IF(Lists!$Q13="","",INDEX(Tasks[Priority],Lists!$Q13)&amp;"")</f>
        <v>High</v>
      </c>
      <c r="H22" s="8">
        <f>IF(Lists!$Q13="","",INDEX(Tasks[% Complete],Lists!$Q13))</f>
        <v>0</v>
      </c>
      <c r="I22" s="6">
        <f>IF(H22="","",H22)</f>
        <v>0</v>
      </c>
      <c r="J22" s="6" t="str">
        <f>IF(Lists!$Q13="","",INDEX(Tasks[Department],Lists!$Q13)&amp;"")</f>
        <v>Sales</v>
      </c>
      <c r="K22" s="6"/>
      <c r="L22" s="6"/>
      <c r="M22" s="6"/>
      <c r="N22" s="6"/>
      <c r="O22" s="6"/>
      <c r="P22" s="6"/>
      <c r="Q22" s="6"/>
      <c r="R22" s="6"/>
    </row>
    <row r="23" spans="1:18" ht="18" customHeight="1" x14ac:dyDescent="0.25">
      <c r="A23" s="6"/>
      <c r="B23" s="33">
        <f>IF(Lists!$Q14="","",IF(MOD(INT(Lists!$P14),100000)=99999,"",MOD(INT(Lists!$P14),100000)))</f>
        <v>46304</v>
      </c>
      <c r="C23" s="6" t="str">
        <f>IF(Lists!$Q14="","",INDEX(Tasks[Task],Lists!$Q14)&amp;"")</f>
        <v>Laptop refresh order</v>
      </c>
      <c r="D23" s="9" t="str">
        <f ca="1">IF(OR(Lists!$Q14="",B23="",F23="Done"),"",IF(B23&lt;TODAY(),"OVERDUE",IF(B23&lt;=TODAY()+6,"This week","")))</f>
        <v>This week</v>
      </c>
      <c r="E23" s="6" t="str">
        <f>IF(Lists!$Q14="","",INDEX(Tasks[Owner],Lists!$Q14)&amp;"")</f>
        <v>Riley P.</v>
      </c>
      <c r="F23" s="6" t="str">
        <f>IF(Lists!$Q14="","",INDEX(Tasks[Status],Lists!$Q14)&amp;"")</f>
        <v>In progress</v>
      </c>
      <c r="G23" s="6" t="str">
        <f>IF(Lists!$Q14="","",INDEX(Tasks[Priority],Lists!$Q14)&amp;"")</f>
        <v>Medium</v>
      </c>
      <c r="H23" s="8">
        <f>IF(Lists!$Q14="","",INDEX(Tasks[% Complete],Lists!$Q14))</f>
        <v>0.55000000000000004</v>
      </c>
      <c r="I23" s="6">
        <f>IF(H23="","",H23)</f>
        <v>0.55000000000000004</v>
      </c>
      <c r="J23" s="6" t="str">
        <f>IF(Lists!$Q14="","",INDEX(Tasks[Department],Lists!$Q14)&amp;"")</f>
        <v>IT</v>
      </c>
      <c r="K23" s="6"/>
      <c r="L23" s="32" t="s">
        <v>147</v>
      </c>
      <c r="M23" s="6"/>
      <c r="N23" s="21" t="s">
        <v>148</v>
      </c>
      <c r="O23" s="6"/>
      <c r="P23" s="6"/>
      <c r="Q23" s="6"/>
      <c r="R23" s="6"/>
    </row>
    <row r="24" spans="1:18" ht="18" customHeight="1" x14ac:dyDescent="0.25">
      <c r="A24" s="6"/>
      <c r="B24" s="33">
        <f>IF(Lists!$Q15="","",IF(MOD(INT(Lists!$P15),100000)=99999,"",MOD(INT(Lists!$P15),100000)))</f>
        <v>46306</v>
      </c>
      <c r="C24" s="6" t="str">
        <f>IF(Lists!$Q15="","",INDEX(Tasks[Task],Lists!$Q15)&amp;"")</f>
        <v>Benefits enrollment memo</v>
      </c>
      <c r="D24" s="9" t="str">
        <f ca="1">IF(OR(Lists!$Q15="",B24="",F24="Done"),"",IF(B24&lt;TODAY(),"OVERDUE",IF(B24&lt;=TODAY()+6,"This week","")))</f>
        <v>This week</v>
      </c>
      <c r="E24" s="6" t="str">
        <f>IF(Lists!$Q15="","",INDEX(Tasks[Owner],Lists!$Q15)&amp;"")</f>
        <v>Morgan T.</v>
      </c>
      <c r="F24" s="6" t="str">
        <f>IF(Lists!$Q15="","",INDEX(Tasks[Status],Lists!$Q15)&amp;"")</f>
        <v>In progress</v>
      </c>
      <c r="G24" s="6" t="str">
        <f>IF(Lists!$Q15="","",INDEX(Tasks[Priority],Lists!$Q15)&amp;"")</f>
        <v>High</v>
      </c>
      <c r="H24" s="8">
        <f>IF(Lists!$Q15="","",INDEX(Tasks[% Complete],Lists!$Q15))</f>
        <v>0.35</v>
      </c>
      <c r="I24" s="6">
        <f>IF(H24="","",H24)</f>
        <v>0.35</v>
      </c>
      <c r="J24" s="6" t="str">
        <f>IF(Lists!$Q15="","",INDEX(Tasks[Department],Lists!$Q15)&amp;"")</f>
        <v>HR</v>
      </c>
      <c r="K24" s="6"/>
      <c r="L24" s="18" t="s">
        <v>2</v>
      </c>
      <c r="M24" s="18" t="s">
        <v>149</v>
      </c>
      <c r="N24" s="35"/>
      <c r="O24" s="35" t="s">
        <v>150</v>
      </c>
      <c r="P24" s="35" t="s">
        <v>15</v>
      </c>
      <c r="Q24" s="35" t="s">
        <v>151</v>
      </c>
      <c r="R24" s="6"/>
    </row>
    <row r="25" spans="1:18" ht="18" customHeight="1" x14ac:dyDescent="0.25">
      <c r="A25" s="6"/>
      <c r="B25" s="33">
        <f>IF(Lists!$Q16="","",IF(MOD(INT(Lists!$P16),100000)=99999,"",MOD(INT(Lists!$P16),100000)))</f>
        <v>46307</v>
      </c>
      <c r="C25" s="6" t="str">
        <f>IF(Lists!$Q16="","",INDEX(Tasks[Task],Lists!$Q16)&amp;"")</f>
        <v>Fleet insurance renewal</v>
      </c>
      <c r="D25" s="9" t="str">
        <f ca="1">IF(OR(Lists!$Q16="",B25="",F25="Done"),"",IF(B25&lt;TODAY(),"OVERDUE",IF(B25&lt;=TODAY()+6,"This week","")))</f>
        <v>This week</v>
      </c>
      <c r="E25" s="6" t="str">
        <f>IF(Lists!$Q16="","",INDEX(Tasks[Owner],Lists!$Q16)&amp;"")</f>
        <v>Taylor R.</v>
      </c>
      <c r="F25" s="6" t="str">
        <f>IF(Lists!$Q16="","",INDEX(Tasks[Status],Lists!$Q16)&amp;"")</f>
        <v>Not started</v>
      </c>
      <c r="G25" s="6" t="str">
        <f>IF(Lists!$Q16="","",INDEX(Tasks[Priority],Lists!$Q16)&amp;"")</f>
        <v>High</v>
      </c>
      <c r="H25" s="8">
        <f>IF(Lists!$Q16="","",INDEX(Tasks[% Complete],Lists!$Q16))</f>
        <v>0</v>
      </c>
      <c r="I25" s="6">
        <f>IF(H25="","",H25)</f>
        <v>0</v>
      </c>
      <c r="J25" s="6" t="str">
        <f>IF(Lists!$Q16="","",INDEX(Tasks[Department],Lists!$Q16)&amp;"")</f>
        <v>Operations</v>
      </c>
      <c r="K25" s="6"/>
      <c r="L25" s="6" t="str">
        <f>IF(Lists!$A5="","",Lists!$A5)</f>
        <v>Avery K.</v>
      </c>
      <c r="M25" s="6">
        <f>IF(N25="","",N25)</f>
        <v>0.31</v>
      </c>
      <c r="N25" s="36">
        <f>IF(OR(L25="",O25=0),"",SUMPRODUCT(InScope*(Tasks[Owner]=L25)*Tasks[% Complete])/O25)</f>
        <v>0.31</v>
      </c>
      <c r="O25" s="9">
        <f>IF(L25="","",SUMPRODUCT(InScope*(Tasks[Owner]=L25)))</f>
        <v>5</v>
      </c>
      <c r="P25" s="9">
        <f>IF(L25="","",SUMPRODUCT(InScope*(Tasks[Owner]=L25)*(Tasks[Status]="Done")))</f>
        <v>0</v>
      </c>
      <c r="Q25" s="9">
        <f ca="1">IF(L25="","",SUMPRODUCT(CondOverdue*(Tasks[Owner]=L25)))</f>
        <v>1</v>
      </c>
      <c r="R25" s="6"/>
    </row>
    <row r="26" spans="1:18" ht="18" customHeight="1" x14ac:dyDescent="0.25">
      <c r="A26" s="6"/>
      <c r="B26" s="33">
        <f>IF(Lists!$Q17="","",IF(MOD(INT(Lists!$P17),100000)=99999,"",MOD(INT(Lists!$P17),100000)))</f>
        <v>46308</v>
      </c>
      <c r="C26" s="6" t="str">
        <f>IF(Lists!$Q17="","",INDEX(Tasks[Task],Lists!$Q17)&amp;"")</f>
        <v>Budget draft for 2027</v>
      </c>
      <c r="D26" s="9" t="str">
        <f ca="1">IF(OR(Lists!$Q17="",B26="",F26="Done"),"",IF(B26&lt;TODAY(),"OVERDUE",IF(B26&lt;=TODAY()+6,"This week","")))</f>
        <v/>
      </c>
      <c r="E26" s="6" t="str">
        <f>IF(Lists!$Q17="","",INDEX(Tasks[Owner],Lists!$Q17)&amp;"")</f>
        <v>Jordan M.</v>
      </c>
      <c r="F26" s="6" t="str">
        <f>IF(Lists!$Q17="","",INDEX(Tasks[Status],Lists!$Q17)&amp;"")</f>
        <v>In progress</v>
      </c>
      <c r="G26" s="6" t="str">
        <f>IF(Lists!$Q17="","",INDEX(Tasks[Priority],Lists!$Q17)&amp;"")</f>
        <v>High</v>
      </c>
      <c r="H26" s="8">
        <f>IF(Lists!$Q17="","",INDEX(Tasks[% Complete],Lists!$Q17))</f>
        <v>0.45</v>
      </c>
      <c r="I26" s="6">
        <f>IF(H26="","",H26)</f>
        <v>0.45</v>
      </c>
      <c r="J26" s="6" t="str">
        <f>IF(Lists!$Q17="","",INDEX(Tasks[Department],Lists!$Q17)&amp;"")</f>
        <v>Finance</v>
      </c>
      <c r="K26" s="6"/>
      <c r="L26" s="6" t="str">
        <f>IF(Lists!$A6="","",Lists!$A6)</f>
        <v>Casey L.</v>
      </c>
      <c r="M26" s="6">
        <f>IF(N26="","",N26)</f>
        <v>0.37777777777777782</v>
      </c>
      <c r="N26" s="36">
        <f>IF(OR(L26="",O26=0),"",SUMPRODUCT(InScope*(Tasks[Owner]=L26)*Tasks[% Complete])/O26)</f>
        <v>0.37777777777777782</v>
      </c>
      <c r="O26" s="9">
        <f>IF(L26="","",SUMPRODUCT(InScope*(Tasks[Owner]=L26)))</f>
        <v>9</v>
      </c>
      <c r="P26" s="9">
        <f>IF(L26="","",SUMPRODUCT(InScope*(Tasks[Owner]=L26)*(Tasks[Status]="Done")))</f>
        <v>2</v>
      </c>
      <c r="Q26" s="9">
        <f ca="1">IF(L26="","",SUMPRODUCT(CondOverdue*(Tasks[Owner]=L26)))</f>
        <v>2</v>
      </c>
      <c r="R26" s="6"/>
    </row>
    <row r="27" spans="1:18" ht="18" customHeight="1" x14ac:dyDescent="0.25">
      <c r="A27" s="6"/>
      <c r="B27" s="33">
        <f>IF(Lists!$Q18="","",IF(MOD(INT(Lists!$P18),100000)=99999,"",MOD(INT(Lists!$P18),100000)))</f>
        <v>46309</v>
      </c>
      <c r="C27" s="6" t="str">
        <f>IF(Lists!$Q18="","",INDEX(Tasks[Task],Lists!$Q18)&amp;"")</f>
        <v>Website contact form fix</v>
      </c>
      <c r="D27" s="9" t="str">
        <f ca="1">IF(OR(Lists!$Q18="",B27="",F27="Done"),"",IF(B27&lt;TODAY(),"OVERDUE",IF(B27&lt;=TODAY()+6,"This week","")))</f>
        <v/>
      </c>
      <c r="E27" s="6" t="str">
        <f>IF(Lists!$Q18="","",INDEX(Tasks[Owner],Lists!$Q18)&amp;"")</f>
        <v>Riley P.</v>
      </c>
      <c r="F27" s="6" t="str">
        <f>IF(Lists!$Q18="","",INDEX(Tasks[Status],Lists!$Q18)&amp;"")</f>
        <v>Not started</v>
      </c>
      <c r="G27" s="6" t="str">
        <f>IF(Lists!$Q18="","",INDEX(Tasks[Priority],Lists!$Q18)&amp;"")</f>
        <v>Medium</v>
      </c>
      <c r="H27" s="8">
        <f>IF(Lists!$Q18="","",INDEX(Tasks[% Complete],Lists!$Q18))</f>
        <v>0</v>
      </c>
      <c r="I27" s="6">
        <f>IF(H27="","",H27)</f>
        <v>0</v>
      </c>
      <c r="J27" s="6" t="str">
        <f>IF(Lists!$Q18="","",INDEX(Tasks[Department],Lists!$Q18)&amp;"")</f>
        <v>IT</v>
      </c>
      <c r="K27" s="6"/>
      <c r="L27" s="6" t="str">
        <f>IF(Lists!$A7="","",Lists!$A7)</f>
        <v>Jordan M.</v>
      </c>
      <c r="M27" s="6">
        <f>IF(N27="","",N27)</f>
        <v>0.51875000000000004</v>
      </c>
      <c r="N27" s="36">
        <f>IF(OR(L27="",O27=0),"",SUMPRODUCT(InScope*(Tasks[Owner]=L27)*Tasks[% Complete])/O27)</f>
        <v>0.51875000000000004</v>
      </c>
      <c r="O27" s="9">
        <f>IF(L27="","",SUMPRODUCT(InScope*(Tasks[Owner]=L27)))</f>
        <v>8</v>
      </c>
      <c r="P27" s="9">
        <f>IF(L27="","",SUMPRODUCT(InScope*(Tasks[Owner]=L27)*(Tasks[Status]="Done")))</f>
        <v>2</v>
      </c>
      <c r="Q27" s="9">
        <f ca="1">IF(L27="","",SUMPRODUCT(CondOverdue*(Tasks[Owner]=L27)))</f>
        <v>1</v>
      </c>
      <c r="R27" s="6"/>
    </row>
    <row r="28" spans="1:18" ht="18" customHeight="1" x14ac:dyDescent="0.25">
      <c r="A28" s="6"/>
      <c r="B28" s="21" t="str">
        <f>IF(KpiTotal&gt;15,"+ "&amp;(KpiTotal-15)&amp;" more not shown","")</f>
        <v>+ 27 more not shown</v>
      </c>
      <c r="C28" s="6"/>
      <c r="D28" s="6"/>
      <c r="E28" s="6"/>
      <c r="F28" s="6"/>
      <c r="G28" s="6"/>
      <c r="H28" s="6"/>
      <c r="I28" s="6"/>
      <c r="J28" s="6"/>
      <c r="K28" s="6"/>
      <c r="L28" s="6" t="str">
        <f>IF(Lists!$A8="","",Lists!$A8)</f>
        <v>Morgan T.</v>
      </c>
      <c r="M28" s="6">
        <f>IF(N28="","",N28)</f>
        <v>0.35714285714285715</v>
      </c>
      <c r="N28" s="36">
        <f>IF(OR(L28="",O28=0),"",SUMPRODUCT(InScope*(Tasks[Owner]=L28)*Tasks[% Complete])/O28)</f>
        <v>0.35714285714285715</v>
      </c>
      <c r="O28" s="9">
        <f>IF(L28="","",SUMPRODUCT(InScope*(Tasks[Owner]=L28)))</f>
        <v>7</v>
      </c>
      <c r="P28" s="9">
        <f>IF(L28="","",SUMPRODUCT(InScope*(Tasks[Owner]=L28)*(Tasks[Status]="Done")))</f>
        <v>2</v>
      </c>
      <c r="Q28" s="9">
        <f ca="1">IF(L28="","",SUMPRODUCT(CondOverdue*(Tasks[Owner]=L28)))</f>
        <v>1</v>
      </c>
      <c r="R28" s="6"/>
    </row>
    <row r="29" spans="1:18" ht="18" customHeight="1" x14ac:dyDescent="0.25">
      <c r="A29" s="6"/>
      <c r="B29" s="6"/>
      <c r="C29" s="6"/>
      <c r="D29" s="6"/>
      <c r="E29" s="6"/>
      <c r="F29" s="6"/>
      <c r="G29" s="6"/>
      <c r="H29" s="6"/>
      <c r="I29" s="6"/>
      <c r="J29" s="6"/>
      <c r="K29" s="6"/>
      <c r="L29" s="6" t="str">
        <f>IF(Lists!$A9="","",Lists!$A9)</f>
        <v>Riley P.</v>
      </c>
      <c r="M29" s="6">
        <f>IF(N29="","",N29)</f>
        <v>0.41875000000000001</v>
      </c>
      <c r="N29" s="36">
        <f>IF(OR(L29="",O29=0),"",SUMPRODUCT(InScope*(Tasks[Owner]=L29)*Tasks[% Complete])/O29)</f>
        <v>0.41875000000000001</v>
      </c>
      <c r="O29" s="9">
        <f>IF(L29="","",SUMPRODUCT(InScope*(Tasks[Owner]=L29)))</f>
        <v>8</v>
      </c>
      <c r="P29" s="9">
        <f>IF(L29="","",SUMPRODUCT(InScope*(Tasks[Owner]=L29)*(Tasks[Status]="Done")))</f>
        <v>2</v>
      </c>
      <c r="Q29" s="9">
        <f ca="1">IF(L29="","",SUMPRODUCT(CondOverdue*(Tasks[Owner]=L29)))</f>
        <v>1</v>
      </c>
      <c r="R29" s="6"/>
    </row>
    <row r="30" spans="1:18" ht="18" customHeight="1" x14ac:dyDescent="0.25">
      <c r="A30" s="6"/>
      <c r="B30" s="32" t="s">
        <v>142</v>
      </c>
      <c r="C30" s="6"/>
      <c r="D30" s="6"/>
      <c r="E30" s="21" t="s">
        <v>143</v>
      </c>
      <c r="F30" s="6"/>
      <c r="G30" s="6"/>
      <c r="H30" s="6"/>
      <c r="I30" s="6"/>
      <c r="J30" s="6"/>
      <c r="K30" s="6"/>
      <c r="L30" s="6" t="str">
        <f>IF(Lists!$A10="","",Lists!$A10)</f>
        <v>Taylor R.</v>
      </c>
      <c r="M30" s="6">
        <f>IF(N30="","",N30)</f>
        <v>0.42000000000000004</v>
      </c>
      <c r="N30" s="36">
        <f>IF(OR(L30="",O30=0),"",SUMPRODUCT(InScope*(Tasks[Owner]=L30)*Tasks[% Complete])/O30)</f>
        <v>0.42000000000000004</v>
      </c>
      <c r="O30" s="9">
        <f>IF(L30="","",SUMPRODUCT(InScope*(Tasks[Owner]=L30)))</f>
        <v>5</v>
      </c>
      <c r="P30" s="9">
        <f>IF(L30="","",SUMPRODUCT(InScope*(Tasks[Owner]=L30)*(Tasks[Status]="Done")))</f>
        <v>1</v>
      </c>
      <c r="Q30" s="9">
        <f ca="1">IF(L30="","",SUMPRODUCT(CondOverdue*(Tasks[Owner]=L30)))</f>
        <v>1</v>
      </c>
      <c r="R30" s="6"/>
    </row>
    <row r="31" spans="1:18" ht="18" customHeight="1" x14ac:dyDescent="0.25">
      <c r="A31" s="6"/>
      <c r="B31" s="18" t="s">
        <v>7</v>
      </c>
      <c r="C31" s="18" t="s">
        <v>1</v>
      </c>
      <c r="D31" s="18" t="s">
        <v>144</v>
      </c>
      <c r="E31" s="18" t="s">
        <v>2</v>
      </c>
      <c r="F31" s="18" t="s">
        <v>4</v>
      </c>
      <c r="G31" s="18" t="s">
        <v>5</v>
      </c>
      <c r="H31" s="34" t="s">
        <v>141</v>
      </c>
      <c r="I31" s="18"/>
      <c r="J31" s="18" t="s">
        <v>3</v>
      </c>
      <c r="K31" s="6"/>
      <c r="L31" s="6" t="str">
        <f>IF(Lists!$A11="","",Lists!$A11)</f>
        <v/>
      </c>
      <c r="M31" s="6" t="str">
        <f>IF(N31="","",N31)</f>
        <v/>
      </c>
      <c r="N31" s="36" t="str">
        <f>IF(OR(L31="",O31=0),"",SUMPRODUCT(InScope*(Tasks[Owner]=L31)*Tasks[% Complete])/O31)</f>
        <v/>
      </c>
      <c r="O31" s="9" t="str">
        <f>IF(L31="","",SUMPRODUCT(InScope*(Tasks[Owner]=L31)))</f>
        <v/>
      </c>
      <c r="P31" s="9" t="str">
        <f>IF(L31="","",SUMPRODUCT(InScope*(Tasks[Owner]=L31)*(Tasks[Status]="Done")))</f>
        <v/>
      </c>
      <c r="Q31" s="9" t="str">
        <f>IF(L31="","",SUMPRODUCT(CondOverdue*(Tasks[Owner]=L31)))</f>
        <v/>
      </c>
      <c r="R31" s="6"/>
    </row>
    <row r="32" spans="1:18" ht="18" customHeight="1" x14ac:dyDescent="0.25">
      <c r="A32" s="6"/>
      <c r="B32" s="33">
        <f ca="1">IF(Lists!$M4="","",INT(Lists!$L4))</f>
        <v>46301</v>
      </c>
      <c r="C32" s="6" t="str">
        <f ca="1">IF(Lists!$M4="","Nothing coming up",INDEX(Tasks[Task],Lists!$M4)&amp;"")</f>
        <v>Payroll calendar 2027</v>
      </c>
      <c r="D32" s="37">
        <f ca="1">IF(Lists!$M4="","",INT(Lists!$L4)-TODAY())</f>
        <v>0</v>
      </c>
      <c r="E32" s="6" t="str">
        <f ca="1">IF(Lists!$M4="","",INDEX(Tasks[Owner],Lists!$M4)&amp;"")</f>
        <v>Jordan M.</v>
      </c>
      <c r="F32" s="6" t="str">
        <f ca="1">IF(Lists!$M4="","",INDEX(Tasks[Status],Lists!$M4)&amp;"")</f>
        <v>In progress</v>
      </c>
      <c r="G32" s="6" t="str">
        <f ca="1">IF(Lists!$M4="","",INDEX(Tasks[Priority],Lists!$M4)&amp;"")</f>
        <v>Medium</v>
      </c>
      <c r="H32" s="8">
        <f ca="1">IF(Lists!$M4="","",INDEX(Tasks[% Complete],Lists!$M4))</f>
        <v>0.9</v>
      </c>
      <c r="I32" s="6">
        <f ca="1">IF(H32="","",H32)</f>
        <v>0.9</v>
      </c>
      <c r="J32" s="6" t="str">
        <f ca="1">IF(Lists!$M4="","",INDEX(Tasks[Department],Lists!$M4)&amp;"")</f>
        <v>Finance</v>
      </c>
      <c r="K32" s="6"/>
      <c r="L32" s="6" t="str">
        <f>IF(Lists!$A12="","",Lists!$A12)</f>
        <v/>
      </c>
      <c r="M32" s="6" t="str">
        <f>IF(N32="","",N32)</f>
        <v/>
      </c>
      <c r="N32" s="36" t="str">
        <f>IF(OR(L32="",O32=0),"",SUMPRODUCT(InScope*(Tasks[Owner]=L32)*Tasks[% Complete])/O32)</f>
        <v/>
      </c>
      <c r="O32" s="9" t="str">
        <f>IF(L32="","",SUMPRODUCT(InScope*(Tasks[Owner]=L32)))</f>
        <v/>
      </c>
      <c r="P32" s="9" t="str">
        <f>IF(L32="","",SUMPRODUCT(InScope*(Tasks[Owner]=L32)*(Tasks[Status]="Done")))</f>
        <v/>
      </c>
      <c r="Q32" s="9" t="str">
        <f>IF(L32="","",SUMPRODUCT(CondOverdue*(Tasks[Owner]=L32)))</f>
        <v/>
      </c>
      <c r="R32" s="6"/>
    </row>
    <row r="33" spans="1:18" ht="18" customHeight="1" x14ac:dyDescent="0.25">
      <c r="A33" s="6"/>
      <c r="B33" s="33">
        <f ca="1">IF(Lists!$M5="","",INT(Lists!$L5))</f>
        <v>46302</v>
      </c>
      <c r="C33" s="6" t="str">
        <f ca="1">IF(Lists!$M5="","",INDEX(Tasks[Task],Lists!$M5)&amp;"")</f>
        <v>Warehouse rack labels</v>
      </c>
      <c r="D33" s="37">
        <f ca="1">IF(Lists!$M5="","",INT(Lists!$L5)-TODAY())</f>
        <v>1</v>
      </c>
      <c r="E33" s="6" t="str">
        <f ca="1">IF(Lists!$M5="","",INDEX(Tasks[Owner],Lists!$M5)&amp;"")</f>
        <v>Avery K.</v>
      </c>
      <c r="F33" s="6" t="str">
        <f ca="1">IF(Lists!$M5="","",INDEX(Tasks[Status],Lists!$M5)&amp;"")</f>
        <v>In progress</v>
      </c>
      <c r="G33" s="6" t="str">
        <f ca="1">IF(Lists!$M5="","",INDEX(Tasks[Priority],Lists!$M5)&amp;"")</f>
        <v>Low</v>
      </c>
      <c r="H33" s="8">
        <f ca="1">IF(Lists!$M5="","",INDEX(Tasks[% Complete],Lists!$M5))</f>
        <v>0.75</v>
      </c>
      <c r="I33" s="6">
        <f ca="1">IF(H33="","",H33)</f>
        <v>0.75</v>
      </c>
      <c r="J33" s="6" t="str">
        <f ca="1">IF(Lists!$M5="","",INDEX(Tasks[Department],Lists!$M5)&amp;"")</f>
        <v>Operations</v>
      </c>
      <c r="K33" s="6"/>
      <c r="L33" s="21" t="str">
        <f>IF(COUNTIF(Lists!$A$5:$A$34,"?*")&gt;8,"+ "&amp;(COUNTIF(Lists!$A$5:$A$34,"?*")-8)&amp;" more owners not shown","")</f>
        <v/>
      </c>
      <c r="M33" s="6"/>
      <c r="N33" s="6"/>
      <c r="O33" s="6"/>
      <c r="P33" s="6"/>
      <c r="Q33" s="6"/>
      <c r="R33" s="6"/>
    </row>
    <row r="34" spans="1:18" ht="18" customHeight="1" x14ac:dyDescent="0.25">
      <c r="A34" s="6"/>
      <c r="B34" s="33">
        <f ca="1">IF(Lists!$M6="","",INT(Lists!$L6))</f>
        <v>46303</v>
      </c>
      <c r="C34" s="6" t="str">
        <f ca="1">IF(Lists!$M6="","",INDEX(Tasks[Task],Lists!$M6)&amp;"")</f>
        <v>Quote follow-up calls</v>
      </c>
      <c r="D34" s="37">
        <f ca="1">IF(Lists!$M6="","",INT(Lists!$L6)-TODAY())</f>
        <v>2</v>
      </c>
      <c r="E34" s="6" t="str">
        <f ca="1">IF(Lists!$M6="","",INDEX(Tasks[Owner],Lists!$M6)&amp;"")</f>
        <v>Casey L.</v>
      </c>
      <c r="F34" s="6" t="str">
        <f ca="1">IF(Lists!$M6="","",INDEX(Tasks[Status],Lists!$M6)&amp;"")</f>
        <v>Not started</v>
      </c>
      <c r="G34" s="6" t="str">
        <f ca="1">IF(Lists!$M6="","",INDEX(Tasks[Priority],Lists!$M6)&amp;"")</f>
        <v>High</v>
      </c>
      <c r="H34" s="8">
        <f ca="1">IF(Lists!$M6="","",INDEX(Tasks[% Complete],Lists!$M6))</f>
        <v>0</v>
      </c>
      <c r="I34" s="6">
        <f ca="1">IF(H34="","",H34)</f>
        <v>0</v>
      </c>
      <c r="J34" s="6" t="str">
        <f ca="1">IF(Lists!$M6="","",INDEX(Tasks[Department],Lists!$M6)&amp;"")</f>
        <v>Sales</v>
      </c>
      <c r="K34" s="6"/>
      <c r="L34" s="6"/>
      <c r="M34" s="6"/>
      <c r="N34" s="6"/>
      <c r="O34" s="6"/>
      <c r="P34" s="6"/>
      <c r="Q34" s="6"/>
      <c r="R34" s="6"/>
    </row>
    <row r="35" spans="1:18" ht="18" customHeight="1" x14ac:dyDescent="0.25">
      <c r="A35" s="6"/>
      <c r="B35" s="33">
        <f ca="1">IF(Lists!$M7="","",INT(Lists!$L7))</f>
        <v>46304</v>
      </c>
      <c r="C35" s="6" t="str">
        <f ca="1">IF(Lists!$M7="","",INDEX(Tasks[Task],Lists!$M7)&amp;"")</f>
        <v>Laptop refresh order</v>
      </c>
      <c r="D35" s="37">
        <f ca="1">IF(Lists!$M7="","",INT(Lists!$L7)-TODAY())</f>
        <v>3</v>
      </c>
      <c r="E35" s="6" t="str">
        <f ca="1">IF(Lists!$M7="","",INDEX(Tasks[Owner],Lists!$M7)&amp;"")</f>
        <v>Riley P.</v>
      </c>
      <c r="F35" s="6" t="str">
        <f ca="1">IF(Lists!$M7="","",INDEX(Tasks[Status],Lists!$M7)&amp;"")</f>
        <v>In progress</v>
      </c>
      <c r="G35" s="6" t="str">
        <f ca="1">IF(Lists!$M7="","",INDEX(Tasks[Priority],Lists!$M7)&amp;"")</f>
        <v>Medium</v>
      </c>
      <c r="H35" s="8">
        <f ca="1">IF(Lists!$M7="","",INDEX(Tasks[% Complete],Lists!$M7))</f>
        <v>0.55000000000000004</v>
      </c>
      <c r="I35" s="6">
        <f ca="1">IF(H35="","",H35)</f>
        <v>0.55000000000000004</v>
      </c>
      <c r="J35" s="6" t="str">
        <f ca="1">IF(Lists!$M7="","",INDEX(Tasks[Department],Lists!$M7)&amp;"")</f>
        <v>IT</v>
      </c>
      <c r="K35" s="6"/>
      <c r="L35" s="6"/>
      <c r="M35" s="6"/>
      <c r="N35" s="6"/>
      <c r="O35" s="6"/>
      <c r="P35" s="6"/>
      <c r="Q35" s="6"/>
      <c r="R35" s="6"/>
    </row>
    <row r="36" spans="1:18" ht="18" customHeight="1" x14ac:dyDescent="0.25">
      <c r="A36" s="6"/>
      <c r="B36" s="33">
        <f ca="1">IF(Lists!$M8="","",INT(Lists!$L8))</f>
        <v>46306</v>
      </c>
      <c r="C36" s="6" t="str">
        <f ca="1">IF(Lists!$M8="","",INDEX(Tasks[Task],Lists!$M8)&amp;"")</f>
        <v>Benefits enrollment memo</v>
      </c>
      <c r="D36" s="37">
        <f ca="1">IF(Lists!$M8="","",INT(Lists!$L8)-TODAY())</f>
        <v>5</v>
      </c>
      <c r="E36" s="6" t="str">
        <f ca="1">IF(Lists!$M8="","",INDEX(Tasks[Owner],Lists!$M8)&amp;"")</f>
        <v>Morgan T.</v>
      </c>
      <c r="F36" s="6" t="str">
        <f ca="1">IF(Lists!$M8="","",INDEX(Tasks[Status],Lists!$M8)&amp;"")</f>
        <v>In progress</v>
      </c>
      <c r="G36" s="6" t="str">
        <f ca="1">IF(Lists!$M8="","",INDEX(Tasks[Priority],Lists!$M8)&amp;"")</f>
        <v>High</v>
      </c>
      <c r="H36" s="8">
        <f ca="1">IF(Lists!$M8="","",INDEX(Tasks[% Complete],Lists!$M8))</f>
        <v>0.35</v>
      </c>
      <c r="I36" s="6">
        <f ca="1">IF(H36="","",H36)</f>
        <v>0.35</v>
      </c>
      <c r="J36" s="6" t="str">
        <f ca="1">IF(Lists!$M8="","",INDEX(Tasks[Department],Lists!$M8)&amp;"")</f>
        <v>HR</v>
      </c>
      <c r="K36" s="6"/>
      <c r="L36" s="6"/>
      <c r="M36" s="6"/>
      <c r="N36" s="6"/>
      <c r="O36" s="6"/>
      <c r="P36" s="6"/>
      <c r="Q36" s="6"/>
      <c r="R36" s="6"/>
    </row>
    <row r="37" spans="1:18" ht="18" customHeight="1" x14ac:dyDescent="0.25">
      <c r="A37" s="6"/>
      <c r="B37" s="21" t="str">
        <f ca="1">IF(SUMPRODUCT(CondUpcoming)&gt;5,"+ "&amp;(SUMPRODUCT(CondUpcoming)-5)&amp;" more not shown","")</f>
        <v>+ 21 more not shown</v>
      </c>
      <c r="C37" s="6"/>
      <c r="D37" s="6"/>
      <c r="E37" s="6"/>
      <c r="F37" s="6"/>
      <c r="G37" s="6"/>
      <c r="H37" s="6"/>
      <c r="I37" s="6"/>
      <c r="J37" s="6"/>
      <c r="K37" s="6"/>
      <c r="L37" s="6"/>
      <c r="M37" s="6"/>
      <c r="N37" s="6"/>
      <c r="O37" s="6"/>
      <c r="P37" s="6"/>
      <c r="Q37" s="6"/>
      <c r="R37" s="6"/>
    </row>
    <row r="38" spans="1:18" ht="18" customHeight="1" x14ac:dyDescent="0.25">
      <c r="A38" s="6"/>
      <c r="B38" s="6"/>
      <c r="C38" s="6"/>
      <c r="D38" s="6"/>
      <c r="E38" s="6"/>
      <c r="F38" s="6"/>
      <c r="G38" s="6"/>
      <c r="H38" s="6"/>
      <c r="I38" s="6"/>
      <c r="J38" s="6"/>
      <c r="K38" s="6"/>
      <c r="L38" s="6"/>
      <c r="M38" s="6"/>
      <c r="N38" s="6"/>
      <c r="O38" s="6"/>
      <c r="P38" s="6"/>
      <c r="Q38" s="6"/>
      <c r="R38" s="6"/>
    </row>
    <row r="39" spans="1:18" x14ac:dyDescent="0.25">
      <c r="A39" s="6"/>
      <c r="B39" s="6"/>
      <c r="C39" s="6"/>
      <c r="D39" s="6"/>
      <c r="E39" s="6"/>
      <c r="F39" s="6"/>
      <c r="G39" s="6"/>
      <c r="H39" s="6"/>
      <c r="I39" s="6"/>
      <c r="J39" s="6"/>
      <c r="K39" s="6"/>
      <c r="L39" s="6"/>
      <c r="M39" s="6"/>
      <c r="N39" s="6"/>
      <c r="O39" s="6"/>
      <c r="P39" s="6"/>
      <c r="Q39" s="6"/>
      <c r="R39" s="6"/>
    </row>
    <row r="40" spans="1:18" x14ac:dyDescent="0.25">
      <c r="A40" s="6"/>
      <c r="B40" s="6"/>
      <c r="C40" s="6"/>
      <c r="D40" s="6"/>
      <c r="E40" s="6"/>
      <c r="F40" s="6"/>
      <c r="G40" s="6"/>
      <c r="H40" s="6"/>
      <c r="I40" s="6"/>
      <c r="J40" s="6"/>
      <c r="K40" s="6"/>
      <c r="L40" s="6"/>
      <c r="M40" s="6"/>
      <c r="N40" s="6"/>
      <c r="O40" s="6"/>
      <c r="P40" s="6"/>
      <c r="Q40" s="6"/>
      <c r="R40" s="6"/>
    </row>
  </sheetData>
  <mergeCells count="12">
    <mergeCell ref="L7:M7"/>
    <mergeCell ref="L8:M9"/>
    <mergeCell ref="N7:Q7"/>
    <mergeCell ref="N8:Q9"/>
    <mergeCell ref="E5:F5"/>
    <mergeCell ref="H5:I5"/>
    <mergeCell ref="B7:C7"/>
    <mergeCell ref="B8:C9"/>
    <mergeCell ref="D7:F7"/>
    <mergeCell ref="D8:F9"/>
    <mergeCell ref="G7:J7"/>
    <mergeCell ref="G8:J9"/>
  </mergeCells>
  <conditionalFormatting sqref="I13:I27">
    <cfRule type="dataBar" priority="1">
      <dataBar showValue="0">
        <cfvo type="num" val="0"/>
        <cfvo type="num" val="1"/>
        <color rgb="FF0F766E"/>
      </dataBar>
      <extLst>
        <ext xmlns:x14="http://schemas.microsoft.com/office/spreadsheetml/2009/9/main" uri="{B025F937-C7B1-47D3-B67F-A62EFF666E3E}">
          <x14:id>{7DD9ADC7-A4BA-45BD-98C0-7C2567430AB9}</x14:id>
        </ext>
      </extLst>
    </cfRule>
  </conditionalFormatting>
  <conditionalFormatting sqref="I32:I36">
    <cfRule type="dataBar" priority="2">
      <dataBar showValue="0">
        <cfvo type="num" val="0"/>
        <cfvo type="num" val="1"/>
        <color rgb="FF0F766E"/>
      </dataBar>
      <extLst>
        <ext xmlns:x14="http://schemas.microsoft.com/office/spreadsheetml/2009/9/main" uri="{B025F937-C7B1-47D3-B67F-A62EFF666E3E}">
          <x14:id>{DC98CC5B-160A-4530-85D9-83CF12364E09}</x14:id>
        </ext>
      </extLst>
    </cfRule>
  </conditionalFormatting>
  <conditionalFormatting sqref="Q13:Q20">
    <cfRule type="dataBar" priority="3">
      <dataBar showValue="0">
        <cfvo type="num" val="0"/>
        <cfvo type="num" val="1"/>
        <color rgb="FF0F766E"/>
      </dataBar>
      <extLst>
        <ext xmlns:x14="http://schemas.microsoft.com/office/spreadsheetml/2009/9/main" uri="{B025F937-C7B1-47D3-B67F-A62EFF666E3E}">
          <x14:id>{370AFC6A-8E62-419C-8606-93946B24281C}</x14:id>
        </ext>
      </extLst>
    </cfRule>
  </conditionalFormatting>
  <conditionalFormatting sqref="M25:M32">
    <cfRule type="dataBar" priority="4">
      <dataBar showValue="0">
        <cfvo type="num" val="0"/>
        <cfvo type="num" val="1"/>
        <color rgb="FF0F766E"/>
      </dataBar>
      <extLst>
        <ext xmlns:x14="http://schemas.microsoft.com/office/spreadsheetml/2009/9/main" uri="{B025F937-C7B1-47D3-B67F-A62EFF666E3E}">
          <x14:id>{D66F7962-E0DF-4356-B2EA-FDF4FA35A640}</x14:id>
        </ext>
      </extLst>
    </cfRule>
  </conditionalFormatting>
  <conditionalFormatting sqref="D13:D27">
    <cfRule type="cellIs" dxfId="9" priority="5" stopIfTrue="1" operator="equal">
      <formula>"OVERDUE"</formula>
    </cfRule>
    <cfRule type="cellIs" dxfId="8" priority="6" stopIfTrue="1" operator="equal">
      <formula>"This week"</formula>
    </cfRule>
  </conditionalFormatting>
  <conditionalFormatting sqref="F13:F27">
    <cfRule type="cellIs" dxfId="7" priority="7" stopIfTrue="1" operator="equal">
      <formula>"Done"</formula>
    </cfRule>
    <cfRule type="cellIs" dxfId="6" priority="8" stopIfTrue="1" operator="equal">
      <formula>"Blocked"</formula>
    </cfRule>
  </conditionalFormatting>
  <conditionalFormatting sqref="F32:F36">
    <cfRule type="cellIs" dxfId="5" priority="9" stopIfTrue="1" operator="equal">
      <formula>"Done"</formula>
    </cfRule>
    <cfRule type="cellIs" dxfId="4" priority="10" stopIfTrue="1" operator="equal">
      <formula>"Blocked"</formula>
    </cfRule>
  </conditionalFormatting>
  <conditionalFormatting sqref="G13:G27">
    <cfRule type="cellIs" dxfId="3" priority="11" stopIfTrue="1" operator="equal">
      <formula>"High"</formula>
    </cfRule>
  </conditionalFormatting>
  <conditionalFormatting sqref="G32:G36">
    <cfRule type="cellIs" dxfId="2" priority="12" stopIfTrue="1" operator="equal">
      <formula>"High"</formula>
    </cfRule>
  </conditionalFormatting>
  <conditionalFormatting sqref="O13:O20">
    <cfRule type="cellIs" dxfId="1" priority="13" stopIfTrue="1" operator="equal">
      <formula>"High"</formula>
    </cfRule>
  </conditionalFormatting>
  <conditionalFormatting sqref="Q25:Q32">
    <cfRule type="cellIs" dxfId="0" priority="14" stopIfTrue="1" operator="greaterThan">
      <formula>0</formula>
    </cfRule>
  </conditionalFormatting>
  <dataValidations count="3">
    <dataValidation type="list" allowBlank="1" showInputMessage="1" showErrorMessage="1" errorTitle="Owner" error="Pick a value from the list." sqref="C5" xr:uid="{2652F965-A0B3-4ED3-98B7-D7A935E9CCD3}">
      <formula1>OwnerList</formula1>
    </dataValidation>
    <dataValidation type="list" allowBlank="1" showInputMessage="1" showErrorMessage="1" errorTitle="Status" error="Pick a value from the list." sqref="E5" xr:uid="{F0C7AC77-2C2D-4B0B-88B1-EAE13F3A3DD7}">
      <formula1>StatusList</formula1>
    </dataValidation>
    <dataValidation type="list" allowBlank="1" showInputMessage="1" showErrorMessage="1" errorTitle="Year" error="Pick a value from the list." sqref="H5" xr:uid="{C9CA92E9-D5EB-4A63-9DE9-FC9D72EB48BD}">
      <formula1>YearList</formula1>
    </dataValidation>
  </dataValidations>
  <pageMargins left="0.7" right="0.7" top="0.75" bottom="0.75" header="0.3" footer="0.3"/>
  <pageSetup fitToHeight="0" orientation="landscape"/>
  <extLst>
    <ext xmlns:x14="http://schemas.microsoft.com/office/spreadsheetml/2009/9/main" uri="{78C0D931-6437-407d-A8EE-F0AAD7539E65}">
      <x14:conditionalFormattings>
        <x14:conditionalFormatting xmlns:xm="http://schemas.microsoft.com/office/excel/2006/main">
          <x14:cfRule type="dataBar" id="{7DD9ADC7-A4BA-45BD-98C0-7C2567430AB9}">
            <x14:dataBar minLength="0" maxLength="100" gradient="0" negativeBarColorSameAsPositive="1" axisPosition="none">
              <x14:cfvo type="num">
                <xm:f>0</xm:f>
              </x14:cfvo>
              <x14:cfvo type="num">
                <xm:f>1</xm:f>
              </x14:cfvo>
            </x14:dataBar>
          </x14:cfRule>
          <xm:sqref>I13:I27</xm:sqref>
        </x14:conditionalFormatting>
        <x14:conditionalFormatting xmlns:xm="http://schemas.microsoft.com/office/excel/2006/main">
          <x14:cfRule type="dataBar" id="{DC98CC5B-160A-4530-85D9-83CF12364E09}">
            <x14:dataBar minLength="0" maxLength="100" gradient="0" negativeBarColorSameAsPositive="1" axisPosition="none">
              <x14:cfvo type="num">
                <xm:f>0</xm:f>
              </x14:cfvo>
              <x14:cfvo type="num">
                <xm:f>1</xm:f>
              </x14:cfvo>
            </x14:dataBar>
          </x14:cfRule>
          <xm:sqref>I32:I36</xm:sqref>
        </x14:conditionalFormatting>
        <x14:conditionalFormatting xmlns:xm="http://schemas.microsoft.com/office/excel/2006/main">
          <x14:cfRule type="dataBar" id="{370AFC6A-8E62-419C-8606-93946B24281C}">
            <x14:dataBar minLength="0" maxLength="100" gradient="0" negativeBarColorSameAsPositive="1" axisPosition="none">
              <x14:cfvo type="num">
                <xm:f>0</xm:f>
              </x14:cfvo>
              <x14:cfvo type="num">
                <xm:f>1</xm:f>
              </x14:cfvo>
            </x14:dataBar>
          </x14:cfRule>
          <xm:sqref>Q13:Q20</xm:sqref>
        </x14:conditionalFormatting>
        <x14:conditionalFormatting xmlns:xm="http://schemas.microsoft.com/office/excel/2006/main">
          <x14:cfRule type="dataBar" id="{D66F7962-E0DF-4356-B2EA-FDF4FA35A640}">
            <x14:dataBar minLength="0" maxLength="100" gradient="0" negativeBarColorSameAsPositive="1" axisPosition="none">
              <x14:cfvo type="num">
                <xm:f>0</xm:f>
              </x14:cfvo>
              <x14:cfvo type="num">
                <xm:f>1</xm:f>
              </x14:cfvo>
            </x14:dataBar>
          </x14:cfRule>
          <xm:sqref>M25:M32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477B-3042-48D3-B78B-9A2FD1A0E76A}">
  <dimension ref="A1:K43"/>
  <sheetViews>
    <sheetView workbookViewId="0">
      <pane ySplit="1" topLeftCell="A2" activePane="bottomLeft" state="frozen"/>
      <selection pane="bottomLeft"/>
    </sheetView>
  </sheetViews>
  <sheetFormatPr defaultRowHeight="15" x14ac:dyDescent="0.25"/>
  <cols>
    <col min="1" max="1" width="8.7109375" style="3" customWidth="1"/>
    <col min="2" max="2" width="30.7109375" customWidth="1"/>
    <col min="3" max="5" width="13.7109375" customWidth="1"/>
    <col min="6" max="6" width="10.7109375" customWidth="1"/>
    <col min="7" max="7" width="14.7109375" style="1" customWidth="1"/>
    <col min="8" max="8" width="25.7109375" style="1" customWidth="1"/>
    <col min="9" max="9" width="13.7109375" style="2" customWidth="1"/>
    <col min="10" max="10" width="8.7109375" style="4" customWidth="1"/>
    <col min="11" max="11" width="30.7109375" customWidth="1"/>
  </cols>
  <sheetData>
    <row r="1" spans="1:11" s="6" customFormat="1" ht="21.95" customHeight="1" x14ac:dyDescent="0.25">
      <c r="A1" s="5" t="s">
        <v>0</v>
      </c>
      <c r="B1" s="6" t="s">
        <v>1</v>
      </c>
      <c r="C1" s="6" t="s">
        <v>2</v>
      </c>
      <c r="D1" s="6" t="s">
        <v>3</v>
      </c>
      <c r="E1" s="6" t="s">
        <v>4</v>
      </c>
      <c r="F1" s="6" t="s">
        <v>5</v>
      </c>
      <c r="G1" s="7" t="s">
        <v>6</v>
      </c>
      <c r="H1" s="7" t="s">
        <v>7</v>
      </c>
      <c r="I1" s="8" t="s">
        <v>8</v>
      </c>
      <c r="J1" s="9" t="s">
        <v>9</v>
      </c>
      <c r="K1" s="6" t="s">
        <v>10</v>
      </c>
    </row>
    <row r="2" spans="1:11" x14ac:dyDescent="0.25">
      <c r="A2" s="3" t="s">
        <v>11</v>
      </c>
      <c r="B2" t="s">
        <v>12</v>
      </c>
      <c r="C2" t="s">
        <v>13</v>
      </c>
      <c r="D2" t="s">
        <v>14</v>
      </c>
      <c r="E2" t="s">
        <v>15</v>
      </c>
      <c r="F2" t="s">
        <v>16</v>
      </c>
      <c r="G2" s="1">
        <v>46241</v>
      </c>
      <c r="H2" s="1">
        <v>46266</v>
      </c>
      <c r="I2" s="2">
        <v>1</v>
      </c>
      <c r="J2" s="10">
        <f>IF(Tasks[[#This Row],[Due]]="","",YEAR(Tasks[[#This Row],[Due]]))</f>
        <v>2026</v>
      </c>
      <c r="K2" t="s">
        <v>17</v>
      </c>
    </row>
    <row r="3" spans="1:11" x14ac:dyDescent="0.25">
      <c r="A3" s="3" t="s">
        <v>18</v>
      </c>
      <c r="B3" t="s">
        <v>19</v>
      </c>
      <c r="C3" t="s">
        <v>20</v>
      </c>
      <c r="D3" t="s">
        <v>21</v>
      </c>
      <c r="E3" t="s">
        <v>15</v>
      </c>
      <c r="F3" t="s">
        <v>16</v>
      </c>
      <c r="G3" s="1">
        <v>46256</v>
      </c>
      <c r="H3" s="1">
        <v>46273</v>
      </c>
      <c r="I3" s="2">
        <v>1</v>
      </c>
      <c r="J3" s="10">
        <f>IF(Tasks[[#This Row],[Due]]="","",YEAR(Tasks[[#This Row],[Due]]))</f>
        <v>2026</v>
      </c>
    </row>
    <row r="4" spans="1:11" x14ac:dyDescent="0.25">
      <c r="A4" s="3" t="s">
        <v>22</v>
      </c>
      <c r="B4" t="s">
        <v>23</v>
      </c>
      <c r="C4" t="s">
        <v>24</v>
      </c>
      <c r="D4" t="s">
        <v>25</v>
      </c>
      <c r="E4" t="s">
        <v>15</v>
      </c>
      <c r="F4" t="s">
        <v>26</v>
      </c>
      <c r="G4" s="1">
        <v>46261</v>
      </c>
      <c r="H4" s="1">
        <v>46280</v>
      </c>
      <c r="I4" s="2">
        <v>1</v>
      </c>
      <c r="J4" s="10">
        <f>IF(Tasks[[#This Row],[Due]]="","",YEAR(Tasks[[#This Row],[Due]]))</f>
        <v>2026</v>
      </c>
      <c r="K4" t="s">
        <v>27</v>
      </c>
    </row>
    <row r="5" spans="1:11" x14ac:dyDescent="0.25">
      <c r="A5" s="3" t="s">
        <v>28</v>
      </c>
      <c r="B5" t="s">
        <v>29</v>
      </c>
      <c r="C5" t="s">
        <v>30</v>
      </c>
      <c r="D5" t="s">
        <v>31</v>
      </c>
      <c r="E5" t="s">
        <v>15</v>
      </c>
      <c r="F5" t="s">
        <v>32</v>
      </c>
      <c r="G5" s="1">
        <v>46271</v>
      </c>
      <c r="H5" s="1">
        <v>46287</v>
      </c>
      <c r="I5" s="2">
        <v>1</v>
      </c>
      <c r="J5" s="10">
        <f>IF(Tasks[[#This Row],[Due]]="","",YEAR(Tasks[[#This Row],[Due]]))</f>
        <v>2026</v>
      </c>
    </row>
    <row r="6" spans="1:11" x14ac:dyDescent="0.25">
      <c r="A6" s="3" t="s">
        <v>33</v>
      </c>
      <c r="B6" t="s">
        <v>34</v>
      </c>
      <c r="C6" t="s">
        <v>35</v>
      </c>
      <c r="D6" t="s">
        <v>36</v>
      </c>
      <c r="E6" t="s">
        <v>15</v>
      </c>
      <c r="F6" t="s">
        <v>26</v>
      </c>
      <c r="G6" s="1">
        <v>46276</v>
      </c>
      <c r="H6" s="1">
        <v>46292</v>
      </c>
      <c r="I6" s="2">
        <v>1</v>
      </c>
      <c r="J6" s="10">
        <f>IF(Tasks[[#This Row],[Due]]="","",YEAR(Tasks[[#This Row],[Due]]))</f>
        <v>2026</v>
      </c>
    </row>
    <row r="7" spans="1:11" x14ac:dyDescent="0.25">
      <c r="A7" s="3" t="s">
        <v>37</v>
      </c>
      <c r="B7" t="s">
        <v>38</v>
      </c>
      <c r="C7" t="s">
        <v>13</v>
      </c>
      <c r="D7" t="s">
        <v>14</v>
      </c>
      <c r="E7" t="s">
        <v>39</v>
      </c>
      <c r="F7" t="s">
        <v>16</v>
      </c>
      <c r="G7" s="1">
        <v>46271</v>
      </c>
      <c r="H7" s="1">
        <v>46289</v>
      </c>
      <c r="I7" s="2">
        <v>0.7</v>
      </c>
      <c r="J7" s="10">
        <f>IF(Tasks[[#This Row],[Due]]="","",YEAR(Tasks[[#This Row],[Due]]))</f>
        <v>2026</v>
      </c>
      <c r="K7" t="s">
        <v>40</v>
      </c>
    </row>
    <row r="8" spans="1:11" x14ac:dyDescent="0.25">
      <c r="A8" s="3" t="s">
        <v>41</v>
      </c>
      <c r="B8" t="s">
        <v>42</v>
      </c>
      <c r="C8" t="s">
        <v>24</v>
      </c>
      <c r="D8" t="s">
        <v>25</v>
      </c>
      <c r="E8" t="s">
        <v>39</v>
      </c>
      <c r="F8" t="s">
        <v>26</v>
      </c>
      <c r="G8" s="1">
        <v>46273</v>
      </c>
      <c r="H8" s="1">
        <v>46293</v>
      </c>
      <c r="I8" s="2">
        <v>0.6</v>
      </c>
      <c r="J8" s="10">
        <f>IF(Tasks[[#This Row],[Due]]="","",YEAR(Tasks[[#This Row],[Due]]))</f>
        <v>2026</v>
      </c>
    </row>
    <row r="9" spans="1:11" x14ac:dyDescent="0.25">
      <c r="A9" s="3" t="s">
        <v>43</v>
      </c>
      <c r="B9" t="s">
        <v>44</v>
      </c>
      <c r="C9" t="s">
        <v>30</v>
      </c>
      <c r="D9" t="s">
        <v>31</v>
      </c>
      <c r="E9" t="s">
        <v>45</v>
      </c>
      <c r="F9" t="s">
        <v>16</v>
      </c>
      <c r="G9" s="1">
        <v>46281</v>
      </c>
      <c r="H9" s="1">
        <v>46295</v>
      </c>
      <c r="I9" s="2">
        <v>0.4</v>
      </c>
      <c r="J9" s="10">
        <f>IF(Tasks[[#This Row],[Due]]="","",YEAR(Tasks[[#This Row],[Due]]))</f>
        <v>2026</v>
      </c>
      <c r="K9" t="s">
        <v>46</v>
      </c>
    </row>
    <row r="10" spans="1:11" x14ac:dyDescent="0.25">
      <c r="A10" s="3" t="s">
        <v>47</v>
      </c>
      <c r="B10" t="s">
        <v>48</v>
      </c>
      <c r="C10" t="s">
        <v>20</v>
      </c>
      <c r="D10" t="s">
        <v>21</v>
      </c>
      <c r="E10" t="s">
        <v>39</v>
      </c>
      <c r="F10" t="s">
        <v>26</v>
      </c>
      <c r="G10" s="1">
        <v>46280</v>
      </c>
      <c r="H10" s="1">
        <v>46297</v>
      </c>
      <c r="I10" s="2">
        <v>0.8</v>
      </c>
      <c r="J10" s="10">
        <f>IF(Tasks[[#This Row],[Due]]="","",YEAR(Tasks[[#This Row],[Due]]))</f>
        <v>2026</v>
      </c>
    </row>
    <row r="11" spans="1:11" x14ac:dyDescent="0.25">
      <c r="A11" s="3" t="s">
        <v>49</v>
      </c>
      <c r="B11" t="s">
        <v>50</v>
      </c>
      <c r="C11" t="s">
        <v>35</v>
      </c>
      <c r="D11" t="s">
        <v>36</v>
      </c>
      <c r="E11" t="s">
        <v>51</v>
      </c>
      <c r="F11" t="s">
        <v>16</v>
      </c>
      <c r="G11" s="1">
        <v>46291</v>
      </c>
      <c r="H11" s="1">
        <v>46299</v>
      </c>
      <c r="I11" s="2">
        <v>0</v>
      </c>
      <c r="J11" s="10">
        <f>IF(Tasks[[#This Row],[Due]]="","",YEAR(Tasks[[#This Row],[Due]]))</f>
        <v>2026</v>
      </c>
    </row>
    <row r="12" spans="1:11" x14ac:dyDescent="0.25">
      <c r="A12" s="3" t="s">
        <v>52</v>
      </c>
      <c r="B12" t="s">
        <v>53</v>
      </c>
      <c r="C12" t="s">
        <v>54</v>
      </c>
      <c r="D12" t="s">
        <v>14</v>
      </c>
      <c r="E12" t="s">
        <v>39</v>
      </c>
      <c r="F12" t="s">
        <v>16</v>
      </c>
      <c r="G12" s="1">
        <v>46292</v>
      </c>
      <c r="H12" s="1">
        <v>46300</v>
      </c>
      <c r="I12" s="2">
        <v>0.5</v>
      </c>
      <c r="J12" s="10">
        <f>IF(Tasks[[#This Row],[Due]]="","",YEAR(Tasks[[#This Row],[Due]]))</f>
        <v>2026</v>
      </c>
    </row>
    <row r="13" spans="1:11" x14ac:dyDescent="0.25">
      <c r="A13" s="3" t="s">
        <v>55</v>
      </c>
      <c r="B13" t="s">
        <v>56</v>
      </c>
      <c r="C13" t="s">
        <v>24</v>
      </c>
      <c r="D13" t="s">
        <v>25</v>
      </c>
      <c r="E13" t="s">
        <v>45</v>
      </c>
      <c r="F13" t="s">
        <v>26</v>
      </c>
      <c r="G13" s="1">
        <v>46283</v>
      </c>
      <c r="H13" s="1">
        <v>46286</v>
      </c>
      <c r="I13" s="2">
        <v>0.3</v>
      </c>
      <c r="J13" s="10">
        <f>IF(Tasks[[#This Row],[Due]]="","",YEAR(Tasks[[#This Row],[Due]]))</f>
        <v>2026</v>
      </c>
      <c r="K13" t="s">
        <v>57</v>
      </c>
    </row>
    <row r="14" spans="1:11" x14ac:dyDescent="0.25">
      <c r="A14" s="3" t="s">
        <v>58</v>
      </c>
      <c r="B14" t="s">
        <v>59</v>
      </c>
      <c r="C14" t="s">
        <v>20</v>
      </c>
      <c r="D14" t="s">
        <v>21</v>
      </c>
      <c r="E14" t="s">
        <v>39</v>
      </c>
      <c r="F14" t="s">
        <v>26</v>
      </c>
      <c r="G14" s="1">
        <v>46294</v>
      </c>
      <c r="H14" s="1">
        <v>46301</v>
      </c>
      <c r="I14" s="2">
        <v>0.9</v>
      </c>
      <c r="J14" s="10">
        <f>IF(Tasks[[#This Row],[Due]]="","",YEAR(Tasks[[#This Row],[Due]]))</f>
        <v>2026</v>
      </c>
    </row>
    <row r="15" spans="1:11" x14ac:dyDescent="0.25">
      <c r="A15" s="3" t="s">
        <v>60</v>
      </c>
      <c r="B15" t="s">
        <v>61</v>
      </c>
      <c r="C15" t="s">
        <v>54</v>
      </c>
      <c r="D15" t="s">
        <v>14</v>
      </c>
      <c r="E15" t="s">
        <v>39</v>
      </c>
      <c r="F15" t="s">
        <v>32</v>
      </c>
      <c r="G15" s="1">
        <v>46295</v>
      </c>
      <c r="H15" s="1">
        <v>46302</v>
      </c>
      <c r="I15" s="2">
        <v>0.75</v>
      </c>
      <c r="J15" s="10">
        <f>IF(Tasks[[#This Row],[Due]]="","",YEAR(Tasks[[#This Row],[Due]]))</f>
        <v>2026</v>
      </c>
    </row>
    <row r="16" spans="1:11" x14ac:dyDescent="0.25">
      <c r="A16" s="3" t="s">
        <v>62</v>
      </c>
      <c r="B16" t="s">
        <v>63</v>
      </c>
      <c r="C16" t="s">
        <v>24</v>
      </c>
      <c r="D16" t="s">
        <v>25</v>
      </c>
      <c r="E16" t="s">
        <v>51</v>
      </c>
      <c r="F16" t="s">
        <v>16</v>
      </c>
      <c r="G16" s="1">
        <v>46299</v>
      </c>
      <c r="H16" s="1">
        <v>46303</v>
      </c>
      <c r="I16" s="2">
        <v>0</v>
      </c>
      <c r="J16" s="10">
        <f>IF(Tasks[[#This Row],[Due]]="","",YEAR(Tasks[[#This Row],[Due]]))</f>
        <v>2026</v>
      </c>
    </row>
    <row r="17" spans="1:11" x14ac:dyDescent="0.25">
      <c r="A17" s="3" t="s">
        <v>64</v>
      </c>
      <c r="B17" t="s">
        <v>65</v>
      </c>
      <c r="C17" t="s">
        <v>30</v>
      </c>
      <c r="D17" t="s">
        <v>31</v>
      </c>
      <c r="E17" t="s">
        <v>39</v>
      </c>
      <c r="F17" t="s">
        <v>26</v>
      </c>
      <c r="G17" s="1">
        <v>46289</v>
      </c>
      <c r="H17" s="1">
        <v>46304</v>
      </c>
      <c r="I17" s="2">
        <v>0.55000000000000004</v>
      </c>
      <c r="J17" s="10">
        <f>IF(Tasks[[#This Row],[Due]]="","",YEAR(Tasks[[#This Row],[Due]]))</f>
        <v>2026</v>
      </c>
    </row>
    <row r="18" spans="1:11" x14ac:dyDescent="0.25">
      <c r="A18" s="3" t="s">
        <v>66</v>
      </c>
      <c r="B18" t="s">
        <v>67</v>
      </c>
      <c r="C18" t="s">
        <v>35</v>
      </c>
      <c r="D18" t="s">
        <v>36</v>
      </c>
      <c r="E18" t="s">
        <v>39</v>
      </c>
      <c r="F18" t="s">
        <v>16</v>
      </c>
      <c r="G18" s="1">
        <v>46293</v>
      </c>
      <c r="H18" s="1">
        <v>46306</v>
      </c>
      <c r="I18" s="2">
        <v>0.35</v>
      </c>
      <c r="J18" s="10">
        <f>IF(Tasks[[#This Row],[Due]]="","",YEAR(Tasks[[#This Row],[Due]]))</f>
        <v>2026</v>
      </c>
    </row>
    <row r="19" spans="1:11" x14ac:dyDescent="0.25">
      <c r="A19" s="3" t="s">
        <v>68</v>
      </c>
      <c r="B19" t="s">
        <v>69</v>
      </c>
      <c r="C19" t="s">
        <v>13</v>
      </c>
      <c r="D19" t="s">
        <v>14</v>
      </c>
      <c r="E19" t="s">
        <v>51</v>
      </c>
      <c r="F19" t="s">
        <v>16</v>
      </c>
      <c r="G19" s="1">
        <v>46300</v>
      </c>
      <c r="H19" s="1">
        <v>46307</v>
      </c>
      <c r="I19" s="2">
        <v>0</v>
      </c>
      <c r="J19" s="10">
        <f>IF(Tasks[[#This Row],[Due]]="","",YEAR(Tasks[[#This Row],[Due]]))</f>
        <v>2026</v>
      </c>
    </row>
    <row r="20" spans="1:11" x14ac:dyDescent="0.25">
      <c r="A20" s="3" t="s">
        <v>70</v>
      </c>
      <c r="B20" t="s">
        <v>71</v>
      </c>
      <c r="C20" t="s">
        <v>24</v>
      </c>
      <c r="D20" t="s">
        <v>25</v>
      </c>
      <c r="E20" t="s">
        <v>15</v>
      </c>
      <c r="F20" t="s">
        <v>26</v>
      </c>
      <c r="G20" s="1">
        <v>46291</v>
      </c>
      <c r="H20" s="1">
        <v>46303</v>
      </c>
      <c r="I20" s="2">
        <v>1</v>
      </c>
      <c r="J20" s="10">
        <f>IF(Tasks[[#This Row],[Due]]="","",YEAR(Tasks[[#This Row],[Due]]))</f>
        <v>2026</v>
      </c>
      <c r="K20" t="s">
        <v>72</v>
      </c>
    </row>
    <row r="21" spans="1:11" x14ac:dyDescent="0.25">
      <c r="A21" s="3" t="s">
        <v>73</v>
      </c>
      <c r="B21" t="s">
        <v>74</v>
      </c>
      <c r="C21" t="s">
        <v>20</v>
      </c>
      <c r="D21" t="s">
        <v>21</v>
      </c>
      <c r="E21" t="s">
        <v>39</v>
      </c>
      <c r="F21" t="s">
        <v>16</v>
      </c>
      <c r="G21" s="1">
        <v>46287</v>
      </c>
      <c r="H21" s="1">
        <v>46308</v>
      </c>
      <c r="I21" s="2">
        <v>0.45</v>
      </c>
      <c r="J21" s="10">
        <f>IF(Tasks[[#This Row],[Due]]="","",YEAR(Tasks[[#This Row],[Due]]))</f>
        <v>2026</v>
      </c>
    </row>
    <row r="22" spans="1:11" x14ac:dyDescent="0.25">
      <c r="A22" s="3" t="s">
        <v>75</v>
      </c>
      <c r="B22" t="s">
        <v>76</v>
      </c>
      <c r="C22" t="s">
        <v>30</v>
      </c>
      <c r="D22" t="s">
        <v>31</v>
      </c>
      <c r="E22" t="s">
        <v>51</v>
      </c>
      <c r="F22" t="s">
        <v>26</v>
      </c>
      <c r="G22" s="1">
        <v>46301</v>
      </c>
      <c r="H22" s="1">
        <v>46309</v>
      </c>
      <c r="I22" s="2">
        <v>0</v>
      </c>
      <c r="J22" s="10">
        <f>IF(Tasks[[#This Row],[Due]]="","",YEAR(Tasks[[#This Row],[Due]]))</f>
        <v>2026</v>
      </c>
    </row>
    <row r="23" spans="1:11" x14ac:dyDescent="0.25">
      <c r="A23" s="3" t="s">
        <v>77</v>
      </c>
      <c r="B23" t="s">
        <v>78</v>
      </c>
      <c r="C23" t="s">
        <v>35</v>
      </c>
      <c r="D23" t="s">
        <v>36</v>
      </c>
      <c r="E23" t="s">
        <v>51</v>
      </c>
      <c r="F23" t="s">
        <v>32</v>
      </c>
      <c r="G23" s="1">
        <v>46302</v>
      </c>
      <c r="H23" s="1">
        <v>46310</v>
      </c>
      <c r="I23" s="2">
        <v>0</v>
      </c>
      <c r="J23" s="10">
        <f>IF(Tasks[[#This Row],[Due]]="","",YEAR(Tasks[[#This Row],[Due]]))</f>
        <v>2026</v>
      </c>
    </row>
    <row r="24" spans="1:11" x14ac:dyDescent="0.25">
      <c r="A24" s="3" t="s">
        <v>79</v>
      </c>
      <c r="B24" t="s">
        <v>80</v>
      </c>
      <c r="C24" t="s">
        <v>54</v>
      </c>
      <c r="D24" t="s">
        <v>14</v>
      </c>
      <c r="E24" t="s">
        <v>45</v>
      </c>
      <c r="F24" t="s">
        <v>16</v>
      </c>
      <c r="G24" s="1">
        <v>46296</v>
      </c>
      <c r="H24" s="1">
        <v>46311</v>
      </c>
      <c r="I24" s="2">
        <v>0.2</v>
      </c>
      <c r="J24" s="10">
        <f>IF(Tasks[[#This Row],[Due]]="","",YEAR(Tasks[[#This Row],[Due]]))</f>
        <v>2026</v>
      </c>
      <c r="K24" t="s">
        <v>81</v>
      </c>
    </row>
    <row r="25" spans="1:11" x14ac:dyDescent="0.25">
      <c r="A25" s="3" t="s">
        <v>82</v>
      </c>
      <c r="B25" t="s">
        <v>83</v>
      </c>
      <c r="C25" t="s">
        <v>24</v>
      </c>
      <c r="D25" t="s">
        <v>25</v>
      </c>
      <c r="E25" t="s">
        <v>39</v>
      </c>
      <c r="F25" t="s">
        <v>16</v>
      </c>
      <c r="G25" s="1">
        <v>46298</v>
      </c>
      <c r="H25" s="1">
        <v>46313</v>
      </c>
      <c r="I25" s="2">
        <v>0.25</v>
      </c>
      <c r="J25" s="10">
        <f>IF(Tasks[[#This Row],[Due]]="","",YEAR(Tasks[[#This Row],[Due]]))</f>
        <v>2026</v>
      </c>
    </row>
    <row r="26" spans="1:11" x14ac:dyDescent="0.25">
      <c r="A26" s="3" t="s">
        <v>84</v>
      </c>
      <c r="B26" t="s">
        <v>85</v>
      </c>
      <c r="C26" t="s">
        <v>13</v>
      </c>
      <c r="D26" t="s">
        <v>14</v>
      </c>
      <c r="E26" t="s">
        <v>39</v>
      </c>
      <c r="F26" t="s">
        <v>26</v>
      </c>
      <c r="G26" s="1">
        <v>46291</v>
      </c>
      <c r="H26" s="1">
        <v>46314</v>
      </c>
      <c r="I26" s="2">
        <v>0.4</v>
      </c>
      <c r="J26" s="10">
        <f>IF(Tasks[[#This Row],[Due]]="","",YEAR(Tasks[[#This Row],[Due]]))</f>
        <v>2026</v>
      </c>
    </row>
    <row r="27" spans="1:11" x14ac:dyDescent="0.25">
      <c r="A27" s="3" t="s">
        <v>86</v>
      </c>
      <c r="B27" t="s">
        <v>87</v>
      </c>
      <c r="C27" t="s">
        <v>30</v>
      </c>
      <c r="D27" t="s">
        <v>31</v>
      </c>
      <c r="E27" t="s">
        <v>39</v>
      </c>
      <c r="F27" t="s">
        <v>16</v>
      </c>
      <c r="G27" s="1">
        <v>46294</v>
      </c>
      <c r="H27" s="1">
        <v>46317</v>
      </c>
      <c r="I27" s="2">
        <v>0.3</v>
      </c>
      <c r="J27" s="10">
        <f>IF(Tasks[[#This Row],[Due]]="","",YEAR(Tasks[[#This Row],[Due]]))</f>
        <v>2026</v>
      </c>
    </row>
    <row r="28" spans="1:11" x14ac:dyDescent="0.25">
      <c r="A28" s="3" t="s">
        <v>88</v>
      </c>
      <c r="B28" t="s">
        <v>89</v>
      </c>
      <c r="C28" t="s">
        <v>20</v>
      </c>
      <c r="D28" t="s">
        <v>21</v>
      </c>
      <c r="E28" t="s">
        <v>51</v>
      </c>
      <c r="F28" t="s">
        <v>26</v>
      </c>
      <c r="G28" s="1">
        <v>46304</v>
      </c>
      <c r="H28" s="1">
        <v>46319</v>
      </c>
      <c r="I28" s="2">
        <v>0</v>
      </c>
      <c r="J28" s="10">
        <f>IF(Tasks[[#This Row],[Due]]="","",YEAR(Tasks[[#This Row],[Due]]))</f>
        <v>2026</v>
      </c>
    </row>
    <row r="29" spans="1:11" x14ac:dyDescent="0.25">
      <c r="A29" s="3" t="s">
        <v>90</v>
      </c>
      <c r="B29" t="s">
        <v>91</v>
      </c>
      <c r="C29" t="s">
        <v>35</v>
      </c>
      <c r="D29" t="s">
        <v>36</v>
      </c>
      <c r="E29" t="s">
        <v>39</v>
      </c>
      <c r="F29" t="s">
        <v>26</v>
      </c>
      <c r="G29" s="1">
        <v>46297</v>
      </c>
      <c r="H29" s="1">
        <v>46322</v>
      </c>
      <c r="I29" s="2">
        <v>0.15</v>
      </c>
      <c r="J29" s="10">
        <f>IF(Tasks[[#This Row],[Due]]="","",YEAR(Tasks[[#This Row],[Due]]))</f>
        <v>2026</v>
      </c>
    </row>
    <row r="30" spans="1:11" x14ac:dyDescent="0.25">
      <c r="A30" s="3" t="s">
        <v>92</v>
      </c>
      <c r="B30" t="s">
        <v>93</v>
      </c>
      <c r="C30" t="s">
        <v>54</v>
      </c>
      <c r="D30" t="s">
        <v>14</v>
      </c>
      <c r="E30" t="s">
        <v>51</v>
      </c>
      <c r="F30" t="s">
        <v>16</v>
      </c>
      <c r="G30" s="1">
        <v>46321</v>
      </c>
      <c r="H30" s="1">
        <v>46328</v>
      </c>
      <c r="I30" s="2">
        <v>0</v>
      </c>
      <c r="J30" s="10">
        <f>IF(Tasks[[#This Row],[Due]]="","",YEAR(Tasks[[#This Row],[Due]]))</f>
        <v>2026</v>
      </c>
    </row>
    <row r="31" spans="1:11" x14ac:dyDescent="0.25">
      <c r="A31" s="3" t="s">
        <v>94</v>
      </c>
      <c r="B31" t="s">
        <v>95</v>
      </c>
      <c r="C31" t="s">
        <v>24</v>
      </c>
      <c r="D31" t="s">
        <v>25</v>
      </c>
      <c r="E31" t="s">
        <v>39</v>
      </c>
      <c r="F31" t="s">
        <v>26</v>
      </c>
      <c r="G31" s="1">
        <v>46299</v>
      </c>
      <c r="H31" s="1">
        <v>46331</v>
      </c>
      <c r="I31" s="2">
        <v>0.2</v>
      </c>
      <c r="J31" s="10">
        <f>IF(Tasks[[#This Row],[Due]]="","",YEAR(Tasks[[#This Row],[Due]]))</f>
        <v>2026</v>
      </c>
    </row>
    <row r="32" spans="1:11" x14ac:dyDescent="0.25">
      <c r="A32" s="3" t="s">
        <v>96</v>
      </c>
      <c r="B32" t="s">
        <v>97</v>
      </c>
      <c r="C32" t="s">
        <v>30</v>
      </c>
      <c r="D32" t="s">
        <v>31</v>
      </c>
      <c r="E32" t="s">
        <v>45</v>
      </c>
      <c r="F32" t="s">
        <v>26</v>
      </c>
      <c r="G32" s="1">
        <v>46286</v>
      </c>
      <c r="H32" s="1">
        <v>46336</v>
      </c>
      <c r="I32" s="2">
        <v>0.1</v>
      </c>
      <c r="J32" s="10">
        <f>IF(Tasks[[#This Row],[Due]]="","",YEAR(Tasks[[#This Row],[Due]]))</f>
        <v>2026</v>
      </c>
      <c r="K32" t="s">
        <v>98</v>
      </c>
    </row>
    <row r="33" spans="1:11" x14ac:dyDescent="0.25">
      <c r="A33" s="3" t="s">
        <v>99</v>
      </c>
      <c r="B33" t="s">
        <v>100</v>
      </c>
      <c r="C33" t="s">
        <v>20</v>
      </c>
      <c r="D33" t="s">
        <v>21</v>
      </c>
      <c r="E33" t="s">
        <v>51</v>
      </c>
      <c r="F33" t="s">
        <v>16</v>
      </c>
      <c r="G33" s="1">
        <v>46311</v>
      </c>
      <c r="H33" s="1">
        <v>46343</v>
      </c>
      <c r="I33" s="2">
        <v>0</v>
      </c>
      <c r="J33" s="10">
        <f>IF(Tasks[[#This Row],[Due]]="","",YEAR(Tasks[[#This Row],[Due]]))</f>
        <v>2026</v>
      </c>
    </row>
    <row r="34" spans="1:11" x14ac:dyDescent="0.25">
      <c r="A34" s="3" t="s">
        <v>101</v>
      </c>
      <c r="B34" t="s">
        <v>102</v>
      </c>
      <c r="C34" t="s">
        <v>35</v>
      </c>
      <c r="D34" t="s">
        <v>36</v>
      </c>
      <c r="E34" t="s">
        <v>15</v>
      </c>
      <c r="F34" t="s">
        <v>32</v>
      </c>
      <c r="G34" s="1">
        <v>46289</v>
      </c>
      <c r="H34" s="1">
        <v>46315</v>
      </c>
      <c r="I34" s="2">
        <v>1</v>
      </c>
      <c r="J34" s="10">
        <f>IF(Tasks[[#This Row],[Due]]="","",YEAR(Tasks[[#This Row],[Due]]))</f>
        <v>2026</v>
      </c>
    </row>
    <row r="35" spans="1:11" x14ac:dyDescent="0.25">
      <c r="A35" s="3" t="s">
        <v>103</v>
      </c>
      <c r="B35" t="s">
        <v>104</v>
      </c>
      <c r="C35" t="s">
        <v>54</v>
      </c>
      <c r="D35" t="s">
        <v>14</v>
      </c>
      <c r="E35" t="s">
        <v>39</v>
      </c>
      <c r="F35" t="s">
        <v>26</v>
      </c>
      <c r="G35" s="1">
        <v>46295</v>
      </c>
      <c r="H35" s="1">
        <v>46349</v>
      </c>
      <c r="I35" s="2">
        <v>0.1</v>
      </c>
      <c r="J35" s="10">
        <f>IF(Tasks[[#This Row],[Due]]="","",YEAR(Tasks[[#This Row],[Due]]))</f>
        <v>2026</v>
      </c>
    </row>
    <row r="36" spans="1:11" x14ac:dyDescent="0.25">
      <c r="A36" s="3" t="s">
        <v>105</v>
      </c>
      <c r="B36" t="s">
        <v>106</v>
      </c>
      <c r="C36" t="s">
        <v>24</v>
      </c>
      <c r="D36" t="s">
        <v>25</v>
      </c>
      <c r="E36" t="s">
        <v>51</v>
      </c>
      <c r="F36" t="s">
        <v>32</v>
      </c>
      <c r="G36" s="1">
        <v>46315</v>
      </c>
      <c r="H36" s="1">
        <v>46357</v>
      </c>
      <c r="I36" s="2">
        <v>0</v>
      </c>
      <c r="J36" s="10">
        <f>IF(Tasks[[#This Row],[Due]]="","",YEAR(Tasks[[#This Row],[Due]]))</f>
        <v>2026</v>
      </c>
    </row>
    <row r="37" spans="1:11" x14ac:dyDescent="0.25">
      <c r="A37" s="3" t="s">
        <v>107</v>
      </c>
      <c r="B37" t="s">
        <v>108</v>
      </c>
      <c r="C37" t="s">
        <v>30</v>
      </c>
      <c r="D37" t="s">
        <v>31</v>
      </c>
      <c r="E37" t="s">
        <v>15</v>
      </c>
      <c r="F37" t="s">
        <v>26</v>
      </c>
      <c r="G37" s="1">
        <v>46266</v>
      </c>
      <c r="H37" s="1">
        <v>46283</v>
      </c>
      <c r="I37" s="2">
        <v>1</v>
      </c>
      <c r="J37" s="10">
        <f>IF(Tasks[[#This Row],[Due]]="","",YEAR(Tasks[[#This Row],[Due]]))</f>
        <v>2026</v>
      </c>
    </row>
    <row r="38" spans="1:11" x14ac:dyDescent="0.25">
      <c r="A38" s="3" t="s">
        <v>109</v>
      </c>
      <c r="B38" t="s">
        <v>110</v>
      </c>
      <c r="C38" t="s">
        <v>20</v>
      </c>
      <c r="D38" t="s">
        <v>21</v>
      </c>
      <c r="E38" t="s">
        <v>15</v>
      </c>
      <c r="F38" t="s">
        <v>16</v>
      </c>
      <c r="G38" s="1">
        <v>46281</v>
      </c>
      <c r="H38" s="1">
        <v>46296</v>
      </c>
      <c r="I38" s="2">
        <v>1</v>
      </c>
      <c r="J38" s="10">
        <f>IF(Tasks[[#This Row],[Due]]="","",YEAR(Tasks[[#This Row],[Due]]))</f>
        <v>2026</v>
      </c>
    </row>
    <row r="39" spans="1:11" x14ac:dyDescent="0.25">
      <c r="A39" s="3" t="s">
        <v>111</v>
      </c>
      <c r="B39" t="s">
        <v>112</v>
      </c>
      <c r="C39" t="s">
        <v>20</v>
      </c>
      <c r="D39" t="s">
        <v>21</v>
      </c>
      <c r="E39" t="s">
        <v>51</v>
      </c>
      <c r="F39" t="s">
        <v>16</v>
      </c>
      <c r="G39" s="1">
        <v>46361</v>
      </c>
      <c r="H39" s="1">
        <v>46396</v>
      </c>
      <c r="I39" s="2">
        <v>0</v>
      </c>
      <c r="J39" s="10">
        <f>IF(Tasks[[#This Row],[Due]]="","",YEAR(Tasks[[#This Row],[Due]]))</f>
        <v>2027</v>
      </c>
    </row>
    <row r="40" spans="1:11" x14ac:dyDescent="0.25">
      <c r="A40" s="3" t="s">
        <v>113</v>
      </c>
      <c r="B40" t="s">
        <v>114</v>
      </c>
      <c r="C40" t="s">
        <v>30</v>
      </c>
      <c r="D40" t="s">
        <v>31</v>
      </c>
      <c r="E40" t="s">
        <v>51</v>
      </c>
      <c r="F40" t="s">
        <v>32</v>
      </c>
      <c r="G40" s="1">
        <v>46371</v>
      </c>
      <c r="H40" s="1">
        <v>46401</v>
      </c>
      <c r="I40" s="2">
        <v>0</v>
      </c>
      <c r="J40" s="10">
        <f>IF(Tasks[[#This Row],[Due]]="","",YEAR(Tasks[[#This Row],[Due]]))</f>
        <v>2027</v>
      </c>
    </row>
    <row r="41" spans="1:11" x14ac:dyDescent="0.25">
      <c r="A41" s="3" t="s">
        <v>115</v>
      </c>
      <c r="B41" t="s">
        <v>116</v>
      </c>
      <c r="C41" t="s">
        <v>13</v>
      </c>
      <c r="D41" t="s">
        <v>14</v>
      </c>
      <c r="E41" t="s">
        <v>51</v>
      </c>
      <c r="F41" t="s">
        <v>26</v>
      </c>
      <c r="G41" s="1">
        <v>46366</v>
      </c>
      <c r="H41" s="1">
        <v>46406</v>
      </c>
      <c r="I41" s="2">
        <v>0</v>
      </c>
      <c r="J41" s="10">
        <f>IF(Tasks[[#This Row],[Due]]="","",YEAR(Tasks[[#This Row],[Due]]))</f>
        <v>2027</v>
      </c>
    </row>
    <row r="42" spans="1:11" x14ac:dyDescent="0.25">
      <c r="A42" s="3" t="s">
        <v>117</v>
      </c>
      <c r="B42" t="s">
        <v>118</v>
      </c>
      <c r="C42" t="s">
        <v>35</v>
      </c>
      <c r="D42" t="s">
        <v>36</v>
      </c>
      <c r="E42" t="s">
        <v>51</v>
      </c>
      <c r="F42" t="s">
        <v>26</v>
      </c>
      <c r="G42" s="1">
        <v>46381</v>
      </c>
      <c r="H42" s="1">
        <v>46419</v>
      </c>
      <c r="I42" s="2">
        <v>0</v>
      </c>
      <c r="J42" s="10">
        <f>IF(Tasks[[#This Row],[Due]]="","",YEAR(Tasks[[#This Row],[Due]]))</f>
        <v>2027</v>
      </c>
    </row>
    <row r="43" spans="1:11" x14ac:dyDescent="0.25">
      <c r="A43" s="3" t="s">
        <v>119</v>
      </c>
      <c r="B43" t="s">
        <v>120</v>
      </c>
      <c r="C43" t="s">
        <v>24</v>
      </c>
      <c r="D43" t="s">
        <v>25</v>
      </c>
      <c r="E43" t="s">
        <v>45</v>
      </c>
      <c r="F43" t="s">
        <v>32</v>
      </c>
      <c r="G43" s="1">
        <v>46331</v>
      </c>
      <c r="H43" s="1">
        <v>46426</v>
      </c>
      <c r="I43" s="2">
        <v>0.05</v>
      </c>
      <c r="J43" s="10">
        <f>IF(Tasks[[#This Row],[Due]]="","",YEAR(Tasks[[#This Row],[Due]]))</f>
        <v>2027</v>
      </c>
      <c r="K43" t="s">
        <v>121</v>
      </c>
    </row>
  </sheetData>
  <conditionalFormatting sqref="H1:H1048576">
    <cfRule type="expression" dxfId="11" priority="1" stopIfTrue="1">
      <formula>AND(ISNUMBER($H1),$H1&lt;TODAY(),$E1&lt;&gt;"Done")</formula>
    </cfRule>
    <cfRule type="expression" dxfId="10" priority="2" stopIfTrue="1">
      <formula>AND(ISNUMBER($H1),$H1&gt;=TODAY(),$H1&lt;=TODAY()+6,$E1&lt;&gt;"Done")</formula>
    </cfRule>
  </conditionalFormatting>
  <dataValidations count="4">
    <dataValidation type="list" allowBlank="1" showInputMessage="1" showErrorMessage="1" errorTitle="Status" error="Pick one of: Not started, In progress, Blocked, Done" sqref="E2:E43" xr:uid="{7DD60231-D010-4DEC-BC9F-E510163CA591}">
      <formula1>"Not started,In progress,Blocked,Done"</formula1>
    </dataValidation>
    <dataValidation type="list" allowBlank="1" showInputMessage="1" showErrorMessage="1" errorTitle="Priority" error="Pick one of: High, Medium, Low" sqref="F2:F43" xr:uid="{063D0543-70EA-4E80-BC6B-88278773C6D1}">
      <formula1>"High,Medium,Low"</formula1>
    </dataValidation>
    <dataValidation type="decimal" allowBlank="1" showInputMessage="1" showErrorMessage="1" errorTitle="% Complete" error="Type a percentage from 0% to 100%." sqref="I2:I43" xr:uid="{65C1A00B-3971-4BBB-98F9-F5F8BA6AFB4E}">
      <formula1>0</formula1>
      <formula2>1</formula2>
    </dataValidation>
    <dataValidation allowBlank="1" showInputMessage="1" showErrorMessage="1" promptTitle="Year" prompt="Calculated: fills itself in from Due. No need to type here." sqref="J2:J43" xr:uid="{AFE86B2E-D0E4-450A-B66E-64459ADB78E2}"/>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64F9D-DA22-4008-B9C0-1CC36293FDCE}">
  <dimension ref="B1:C30"/>
  <sheetViews>
    <sheetView showGridLines="0" workbookViewId="0"/>
  </sheetViews>
  <sheetFormatPr defaultRowHeight="15" x14ac:dyDescent="0.25"/>
  <cols>
    <col min="1" max="1" width="2.7109375" customWidth="1"/>
    <col min="2" max="2" width="4.7109375" customWidth="1"/>
    <col min="3" max="3" width="112.7109375" customWidth="1"/>
  </cols>
  <sheetData>
    <row r="1" spans="2:3" ht="8.1" customHeight="1" x14ac:dyDescent="0.25"/>
    <row r="2" spans="2:3" ht="30" customHeight="1" x14ac:dyDescent="0.4">
      <c r="B2" s="39" t="s">
        <v>152</v>
      </c>
    </row>
    <row r="3" spans="2:3" ht="20.100000000000001" customHeight="1" x14ac:dyDescent="0.25">
      <c r="B3" s="3"/>
      <c r="C3" s="38" t="s">
        <v>153</v>
      </c>
    </row>
    <row r="4" spans="2:3" ht="20.100000000000001" customHeight="1" x14ac:dyDescent="0.25">
      <c r="B4" s="3"/>
    </row>
    <row r="5" spans="2:3" ht="20.100000000000001" customHeight="1" x14ac:dyDescent="0.3">
      <c r="B5" s="40" t="s">
        <v>154</v>
      </c>
    </row>
    <row r="6" spans="2:3" ht="20.100000000000001" customHeight="1" x14ac:dyDescent="0.25">
      <c r="B6" s="41">
        <v>1</v>
      </c>
      <c r="C6" t="s">
        <v>155</v>
      </c>
    </row>
    <row r="7" spans="2:3" ht="20.100000000000001" customHeight="1" x14ac:dyDescent="0.25">
      <c r="B7" s="41">
        <v>2</v>
      </c>
      <c r="C7" t="s">
        <v>156</v>
      </c>
    </row>
    <row r="8" spans="2:3" ht="20.100000000000001" customHeight="1" x14ac:dyDescent="0.25">
      <c r="B8" s="41">
        <v>3</v>
      </c>
      <c r="C8" t="s">
        <v>157</v>
      </c>
    </row>
    <row r="9" spans="2:3" ht="20.100000000000001" customHeight="1" x14ac:dyDescent="0.25">
      <c r="B9" s="3"/>
    </row>
    <row r="10" spans="2:3" ht="20.100000000000001" customHeight="1" x14ac:dyDescent="0.3">
      <c r="B10" s="40" t="s">
        <v>158</v>
      </c>
    </row>
    <row r="11" spans="2:3" ht="20.100000000000001" customHeight="1" x14ac:dyDescent="0.25">
      <c r="B11" s="41">
        <v>4</v>
      </c>
      <c r="C11" t="s">
        <v>159</v>
      </c>
    </row>
    <row r="12" spans="2:3" ht="20.100000000000001" customHeight="1" x14ac:dyDescent="0.25">
      <c r="B12" s="41">
        <v>5</v>
      </c>
      <c r="C12" t="s">
        <v>160</v>
      </c>
    </row>
    <row r="13" spans="2:3" ht="20.100000000000001" customHeight="1" x14ac:dyDescent="0.25">
      <c r="B13" s="41">
        <v>6</v>
      </c>
      <c r="C13" t="s">
        <v>161</v>
      </c>
    </row>
    <row r="14" spans="2:3" ht="20.100000000000001" customHeight="1" x14ac:dyDescent="0.25">
      <c r="B14" s="41">
        <v>7</v>
      </c>
      <c r="C14" t="s">
        <v>162</v>
      </c>
    </row>
    <row r="15" spans="2:3" ht="20.100000000000001" customHeight="1" x14ac:dyDescent="0.25">
      <c r="B15" s="3"/>
    </row>
    <row r="16" spans="2:3" ht="20.100000000000001" customHeight="1" x14ac:dyDescent="0.3">
      <c r="B16" s="40" t="s">
        <v>163</v>
      </c>
    </row>
    <row r="17" spans="2:3" ht="20.100000000000001" customHeight="1" x14ac:dyDescent="0.25">
      <c r="B17" s="41">
        <v>8</v>
      </c>
      <c r="C17" t="s">
        <v>164</v>
      </c>
    </row>
    <row r="18" spans="2:3" ht="20.100000000000001" customHeight="1" x14ac:dyDescent="0.25">
      <c r="B18" s="41">
        <v>9</v>
      </c>
      <c r="C18" t="s">
        <v>165</v>
      </c>
    </row>
    <row r="19" spans="2:3" ht="20.100000000000001" customHeight="1" x14ac:dyDescent="0.25">
      <c r="B19" s="41">
        <v>10</v>
      </c>
      <c r="C19" t="s">
        <v>166</v>
      </c>
    </row>
    <row r="20" spans="2:3" x14ac:dyDescent="0.25">
      <c r="B20" s="3"/>
    </row>
    <row r="21" spans="2:3" x14ac:dyDescent="0.25">
      <c r="B21" s="3"/>
    </row>
    <row r="22" spans="2:3" x14ac:dyDescent="0.25">
      <c r="B22" s="3"/>
    </row>
    <row r="23" spans="2:3" x14ac:dyDescent="0.25">
      <c r="B23" s="3"/>
    </row>
    <row r="24" spans="2:3" x14ac:dyDescent="0.25">
      <c r="B24" s="3"/>
    </row>
    <row r="25" spans="2:3" x14ac:dyDescent="0.25">
      <c r="B25" s="3"/>
    </row>
    <row r="26" spans="2:3" x14ac:dyDescent="0.25">
      <c r="B26" s="3"/>
    </row>
    <row r="27" spans="2:3" x14ac:dyDescent="0.25">
      <c r="B27" s="3"/>
    </row>
    <row r="28" spans="2:3" x14ac:dyDescent="0.25">
      <c r="B28" s="3"/>
    </row>
    <row r="29" spans="2:3" x14ac:dyDescent="0.25">
      <c r="B29" s="3"/>
    </row>
    <row r="30" spans="2:3" x14ac:dyDescent="0.25">
      <c r="B30"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CAF32-C6C9-4BF7-B6E5-B4DE9DE86E02}">
  <sheetPr>
    <tabColor rgb="FF5B6B7F"/>
  </sheetPr>
  <dimension ref="A1:Q34"/>
  <sheetViews>
    <sheetView workbookViewId="0"/>
  </sheetViews>
  <sheetFormatPr defaultRowHeight="15" x14ac:dyDescent="0.25"/>
  <cols>
    <col min="1" max="1" width="22.7109375" customWidth="1"/>
    <col min="2" max="2" width="3.7109375" customWidth="1"/>
    <col min="3" max="3" width="16.7109375" customWidth="1"/>
    <col min="4" max="4" width="3.7109375" customWidth="1"/>
    <col min="5" max="5" width="14.7109375" customWidth="1"/>
    <col min="6" max="6" width="3.7109375" customWidth="1"/>
    <col min="7" max="7" width="5.7109375" customWidth="1"/>
    <col min="8" max="8" width="24.7109375" customWidth="1"/>
    <col min="9" max="9" width="11.7109375" customWidth="1"/>
    <col min="10" max="10" width="3.7109375" customWidth="1"/>
    <col min="11" max="11" width="5.7109375" customWidth="1"/>
    <col min="12" max="12" width="18.7109375" customWidth="1"/>
    <col min="13" max="13" width="11.7109375" customWidth="1"/>
    <col min="14" max="14" width="3.7109375" customWidth="1"/>
    <col min="15" max="15" width="5.7109375" customWidth="1"/>
    <col min="16" max="16" width="20.7109375" customWidth="1"/>
    <col min="17" max="17" width="11.7109375" customWidth="1"/>
  </cols>
  <sheetData>
    <row r="1" spans="1:17" x14ac:dyDescent="0.25">
      <c r="A1" s="11" t="s">
        <v>122</v>
      </c>
    </row>
    <row r="2" spans="1:17" x14ac:dyDescent="0.25">
      <c r="A2" s="12" t="s">
        <v>123</v>
      </c>
    </row>
    <row r="3" spans="1:17" x14ac:dyDescent="0.25">
      <c r="A3" s="13" t="s">
        <v>124</v>
      </c>
      <c r="C3" s="13" t="s">
        <v>126</v>
      </c>
      <c r="E3" s="13" t="s">
        <v>127</v>
      </c>
      <c r="G3" s="13" t="s">
        <v>128</v>
      </c>
      <c r="H3" s="13" t="s">
        <v>129</v>
      </c>
      <c r="I3" s="13" t="s">
        <v>130</v>
      </c>
      <c r="K3" s="13" t="s">
        <v>128</v>
      </c>
      <c r="L3" s="13" t="s">
        <v>131</v>
      </c>
      <c r="M3" s="13" t="s">
        <v>130</v>
      </c>
      <c r="O3" s="13" t="s">
        <v>128</v>
      </c>
      <c r="P3" s="13" t="s">
        <v>132</v>
      </c>
      <c r="Q3" s="13" t="s">
        <v>130</v>
      </c>
    </row>
    <row r="4" spans="1:17" x14ac:dyDescent="0.25">
      <c r="A4" t="s">
        <v>125</v>
      </c>
      <c r="C4" t="s">
        <v>125</v>
      </c>
      <c r="E4" s="3" t="s">
        <v>125</v>
      </c>
      <c r="G4">
        <v>1</v>
      </c>
      <c r="H4" s="14">
        <f ca="1">IFERROR(_xlfn.AGGREGATE(15,6,SortKey/CondFocus,$G4),"")</f>
        <v>46301.00013</v>
      </c>
      <c r="I4">
        <f t="shared" ref="I4:I11" ca="1" si="0">IF(H4="","",ROUND(MOD(H4,1)*100000,0))</f>
        <v>13</v>
      </c>
      <c r="K4">
        <v>1</v>
      </c>
      <c r="L4" s="14">
        <f ca="1">IFERROR(_xlfn.AGGREGATE(15,6,SortKey/CondUpcoming,$K4),"")</f>
        <v>46301.00013</v>
      </c>
      <c r="M4">
        <f t="shared" ref="M4:M8" ca="1" si="1">IF(L4="","",ROUND(MOD(L4,1)*100000,0))</f>
        <v>13</v>
      </c>
      <c r="O4">
        <v>1</v>
      </c>
      <c r="P4" s="14">
        <f>IFERROR(_xlfn.AGGREGATE(15,6,SortKeyView/InScope,$O4),"")</f>
        <v>46286.000119999997</v>
      </c>
      <c r="Q4">
        <f t="shared" ref="Q4:Q18" si="2">IF(P4="","",ROUND(MOD(P4,1)*100000,0))</f>
        <v>12</v>
      </c>
    </row>
    <row r="5" spans="1:17" x14ac:dyDescent="0.25">
      <c r="A5" t="str">
        <f>IFERROR(INDEX(Tasks[Owner],MATCH(_xlfn.AGGREGATE(15,6,OwnerRank/(COUNTIF(A$4:A4,Tasks[Owner])=0)/(Tasks[Owner]&lt;&gt;""),1),OwnerRank,0)),"")</f>
        <v>Avery K.</v>
      </c>
      <c r="C5" t="s">
        <v>51</v>
      </c>
      <c r="E5" s="3">
        <f>IFERROR(_xlfn.AGGREGATE(15,6,Tasks[Year]/(COUNTIF(E$4:E4,Tasks[Year])=0),1),"")</f>
        <v>2026</v>
      </c>
      <c r="G5">
        <v>2</v>
      </c>
      <c r="H5" s="14">
        <f ca="1">IFERROR(_xlfn.AGGREGATE(15,6,SortKey/CondFocus,$G5),"")</f>
        <v>46302.000139999996</v>
      </c>
      <c r="I5">
        <f t="shared" ca="1" si="0"/>
        <v>14</v>
      </c>
      <c r="K5">
        <v>2</v>
      </c>
      <c r="L5" s="14">
        <f ca="1">IFERROR(_xlfn.AGGREGATE(15,6,SortKey/CondUpcoming,$K5),"")</f>
        <v>46302.000139999996</v>
      </c>
      <c r="M5">
        <f t="shared" ca="1" si="1"/>
        <v>14</v>
      </c>
      <c r="O5">
        <v>2</v>
      </c>
      <c r="P5" s="14">
        <f>IFERROR(_xlfn.AGGREGATE(15,6,SortKeyView/InScope,$O5),"")</f>
        <v>46289.000059999998</v>
      </c>
      <c r="Q5">
        <f t="shared" si="2"/>
        <v>6</v>
      </c>
    </row>
    <row r="6" spans="1:17" x14ac:dyDescent="0.25">
      <c r="A6" t="str">
        <f>IFERROR(INDEX(Tasks[Owner],MATCH(_xlfn.AGGREGATE(15,6,OwnerRank/(COUNTIF(A$4:A5,Tasks[Owner])=0)/(Tasks[Owner]&lt;&gt;""),1),OwnerRank,0)),"")</f>
        <v>Casey L.</v>
      </c>
      <c r="C6" t="s">
        <v>39</v>
      </c>
      <c r="E6" s="3">
        <f>IFERROR(_xlfn.AGGREGATE(15,6,Tasks[Year]/(COUNTIF(E$4:E5,Tasks[Year])=0),1),"")</f>
        <v>2027</v>
      </c>
      <c r="G6">
        <v>3</v>
      </c>
      <c r="H6" s="14">
        <f ca="1">IFERROR(_xlfn.AGGREGATE(15,6,SortKey/CondFocus,$G6),"")</f>
        <v>46303.00015</v>
      </c>
      <c r="I6">
        <f t="shared" ca="1" si="0"/>
        <v>15</v>
      </c>
      <c r="K6">
        <v>3</v>
      </c>
      <c r="L6" s="14">
        <f ca="1">IFERROR(_xlfn.AGGREGATE(15,6,SortKey/CondUpcoming,$K6),"")</f>
        <v>46303.00015</v>
      </c>
      <c r="M6">
        <f t="shared" ca="1" si="1"/>
        <v>15</v>
      </c>
      <c r="O6">
        <v>3</v>
      </c>
      <c r="P6" s="14">
        <f>IFERROR(_xlfn.AGGREGATE(15,6,SortKeyView/InScope,$O6),"")</f>
        <v>46293.000070000002</v>
      </c>
      <c r="Q6">
        <f t="shared" si="2"/>
        <v>7</v>
      </c>
    </row>
    <row r="7" spans="1:17" x14ac:dyDescent="0.25">
      <c r="A7" t="str">
        <f>IFERROR(INDEX(Tasks[Owner],MATCH(_xlfn.AGGREGATE(15,6,OwnerRank/(COUNTIF(A$4:A6,Tasks[Owner])=0)/(Tasks[Owner]&lt;&gt;""),1),OwnerRank,0)),"")</f>
        <v>Jordan M.</v>
      </c>
      <c r="C7" t="s">
        <v>45</v>
      </c>
      <c r="E7" s="3" t="str">
        <f>IFERROR(_xlfn.AGGREGATE(15,6,Tasks[Year]/(COUNTIF(E$4:E6,Tasks[Year])=0),1),"")</f>
        <v/>
      </c>
      <c r="G7">
        <v>4</v>
      </c>
      <c r="H7" s="14">
        <f ca="1">IFERROR(_xlfn.AGGREGATE(15,6,SortKey/CondFocus,$G7),"")</f>
        <v>46304.000160000003</v>
      </c>
      <c r="I7">
        <f t="shared" ca="1" si="0"/>
        <v>16</v>
      </c>
      <c r="K7">
        <v>4</v>
      </c>
      <c r="L7" s="14">
        <f ca="1">IFERROR(_xlfn.AGGREGATE(15,6,SortKey/CondUpcoming,$K7),"")</f>
        <v>46304.000160000003</v>
      </c>
      <c r="M7">
        <f t="shared" ca="1" si="1"/>
        <v>16</v>
      </c>
      <c r="O7">
        <v>4</v>
      </c>
      <c r="P7" s="14">
        <f>IFERROR(_xlfn.AGGREGATE(15,6,SortKeyView/InScope,$O7),"")</f>
        <v>46295.000079999998</v>
      </c>
      <c r="Q7">
        <f t="shared" si="2"/>
        <v>8</v>
      </c>
    </row>
    <row r="8" spans="1:17" x14ac:dyDescent="0.25">
      <c r="A8" t="str">
        <f>IFERROR(INDEX(Tasks[Owner],MATCH(_xlfn.AGGREGATE(15,6,OwnerRank/(COUNTIF(A$4:A7,Tasks[Owner])=0)/(Tasks[Owner]&lt;&gt;""),1),OwnerRank,0)),"")</f>
        <v>Morgan T.</v>
      </c>
      <c r="C8" t="s">
        <v>15</v>
      </c>
      <c r="E8" s="3" t="str">
        <f>IFERROR(_xlfn.AGGREGATE(15,6,Tasks[Year]/(COUNTIF(E$4:E7,Tasks[Year])=0),1),"")</f>
        <v/>
      </c>
      <c r="G8">
        <v>5</v>
      </c>
      <c r="H8" s="14">
        <f ca="1">IFERROR(_xlfn.AGGREGATE(15,6,SortKey/CondFocus,$G8),"")</f>
        <v>46306.000169999999</v>
      </c>
      <c r="I8">
        <f t="shared" ca="1" si="0"/>
        <v>17</v>
      </c>
      <c r="K8">
        <v>5</v>
      </c>
      <c r="L8" s="14">
        <f ca="1">IFERROR(_xlfn.AGGREGATE(15,6,SortKey/CondUpcoming,$K8),"")</f>
        <v>46306.000169999999</v>
      </c>
      <c r="M8">
        <f t="shared" ca="1" si="1"/>
        <v>17</v>
      </c>
      <c r="O8">
        <v>5</v>
      </c>
      <c r="P8" s="14">
        <f>IFERROR(_xlfn.AGGREGATE(15,6,SortKeyView/InScope,$O8),"")</f>
        <v>46297.000090000001</v>
      </c>
      <c r="Q8">
        <f t="shared" si="2"/>
        <v>9</v>
      </c>
    </row>
    <row r="9" spans="1:17" x14ac:dyDescent="0.25">
      <c r="A9" t="str">
        <f>IFERROR(INDEX(Tasks[Owner],MATCH(_xlfn.AGGREGATE(15,6,OwnerRank/(COUNTIF(A$4:A8,Tasks[Owner])=0)/(Tasks[Owner]&lt;&gt;""),1),OwnerRank,0)),"")</f>
        <v>Riley P.</v>
      </c>
      <c r="E9" s="3" t="str">
        <f>IFERROR(_xlfn.AGGREGATE(15,6,Tasks[Year]/(COUNTIF(E$4:E8,Tasks[Year])=0),1),"")</f>
        <v/>
      </c>
      <c r="G9">
        <v>6</v>
      </c>
      <c r="H9" s="14">
        <f ca="1">IFERROR(_xlfn.AGGREGATE(15,6,SortKey/CondFocus,$G9),"")</f>
        <v>46307.000180000003</v>
      </c>
      <c r="I9">
        <f t="shared" ca="1" si="0"/>
        <v>18</v>
      </c>
      <c r="O9">
        <v>6</v>
      </c>
      <c r="P9" s="14">
        <f>IFERROR(_xlfn.AGGREGATE(15,6,SortKeyView/InScope,$O9),"")</f>
        <v>46299.000099999997</v>
      </c>
      <c r="Q9">
        <f t="shared" si="2"/>
        <v>10</v>
      </c>
    </row>
    <row r="10" spans="1:17" x14ac:dyDescent="0.25">
      <c r="A10" t="str">
        <f>IFERROR(INDEX(Tasks[Owner],MATCH(_xlfn.AGGREGATE(15,6,OwnerRank/(COUNTIF(A$4:A9,Tasks[Owner])=0)/(Tasks[Owner]&lt;&gt;""),1),OwnerRank,0)),"")</f>
        <v>Taylor R.</v>
      </c>
      <c r="E10" s="3" t="str">
        <f>IFERROR(_xlfn.AGGREGATE(15,6,Tasks[Year]/(COUNTIF(E$4:E9,Tasks[Year])=0),1),"")</f>
        <v/>
      </c>
      <c r="G10">
        <v>7</v>
      </c>
      <c r="H10" s="14" t="str">
        <f ca="1">IFERROR(_xlfn.AGGREGATE(15,6,SortKey/CondFocus,$G10),"")</f>
        <v/>
      </c>
      <c r="I10" t="str">
        <f t="shared" ca="1" si="0"/>
        <v/>
      </c>
      <c r="O10">
        <v>7</v>
      </c>
      <c r="P10" s="14">
        <f>IFERROR(_xlfn.AGGREGATE(15,6,SortKeyView/InScope,$O10),"")</f>
        <v>46300.000110000001</v>
      </c>
      <c r="Q10">
        <f t="shared" si="2"/>
        <v>11</v>
      </c>
    </row>
    <row r="11" spans="1:17" x14ac:dyDescent="0.25">
      <c r="A11" t="str">
        <f>IFERROR(INDEX(Tasks[Owner],MATCH(_xlfn.AGGREGATE(15,6,OwnerRank/(COUNTIF(A$4:A10,Tasks[Owner])=0)/(Tasks[Owner]&lt;&gt;""),1),OwnerRank,0)),"")</f>
        <v/>
      </c>
      <c r="E11" s="3" t="str">
        <f>IFERROR(_xlfn.AGGREGATE(15,6,Tasks[Year]/(COUNTIF(E$4:E10,Tasks[Year])=0),1),"")</f>
        <v/>
      </c>
      <c r="G11">
        <v>8</v>
      </c>
      <c r="H11" s="14" t="str">
        <f ca="1">IFERROR(_xlfn.AGGREGATE(15,6,SortKey/CondFocus,$G11),"")</f>
        <v/>
      </c>
      <c r="I11" t="str">
        <f t="shared" ca="1" si="0"/>
        <v/>
      </c>
      <c r="O11">
        <v>8</v>
      </c>
      <c r="P11" s="14">
        <f>IFERROR(_xlfn.AGGREGATE(15,6,SortKeyView/InScope,$O11),"")</f>
        <v>46301.00013</v>
      </c>
      <c r="Q11">
        <f t="shared" si="2"/>
        <v>13</v>
      </c>
    </row>
    <row r="12" spans="1:17" x14ac:dyDescent="0.25">
      <c r="A12" t="str">
        <f>IFERROR(INDEX(Tasks[Owner],MATCH(_xlfn.AGGREGATE(15,6,OwnerRank/(COUNTIF(A$4:A11,Tasks[Owner])=0)/(Tasks[Owner]&lt;&gt;""),1),OwnerRank,0)),"")</f>
        <v/>
      </c>
      <c r="E12" s="3" t="str">
        <f>IFERROR(_xlfn.AGGREGATE(15,6,Tasks[Year]/(COUNTIF(E$4:E11,Tasks[Year])=0),1),"")</f>
        <v/>
      </c>
      <c r="O12">
        <v>9</v>
      </c>
      <c r="P12" s="14">
        <f>IFERROR(_xlfn.AGGREGATE(15,6,SortKeyView/InScope,$O12),"")</f>
        <v>46302.000139999996</v>
      </c>
      <c r="Q12">
        <f t="shared" si="2"/>
        <v>14</v>
      </c>
    </row>
    <row r="13" spans="1:17" x14ac:dyDescent="0.25">
      <c r="A13" t="str">
        <f>IFERROR(INDEX(Tasks[Owner],MATCH(_xlfn.AGGREGATE(15,6,OwnerRank/(COUNTIF(A$4:A12,Tasks[Owner])=0)/(Tasks[Owner]&lt;&gt;""),1),OwnerRank,0)),"")</f>
        <v/>
      </c>
      <c r="E13" s="3" t="str">
        <f>IFERROR(_xlfn.AGGREGATE(15,6,Tasks[Year]/(COUNTIF(E$4:E12,Tasks[Year])=0),1),"")</f>
        <v/>
      </c>
      <c r="O13">
        <v>10</v>
      </c>
      <c r="P13" s="14">
        <f>IFERROR(_xlfn.AGGREGATE(15,6,SortKeyView/InScope,$O13),"")</f>
        <v>46303.00015</v>
      </c>
      <c r="Q13">
        <f t="shared" si="2"/>
        <v>15</v>
      </c>
    </row>
    <row r="14" spans="1:17" x14ac:dyDescent="0.25">
      <c r="A14" t="str">
        <f>IFERROR(INDEX(Tasks[Owner],MATCH(_xlfn.AGGREGATE(15,6,OwnerRank/(COUNTIF(A$4:A13,Tasks[Owner])=0)/(Tasks[Owner]&lt;&gt;""),1),OwnerRank,0)),"")</f>
        <v/>
      </c>
      <c r="E14" s="3" t="str">
        <f>IFERROR(_xlfn.AGGREGATE(15,6,Tasks[Year]/(COUNTIF(E$4:E13,Tasks[Year])=0),1),"")</f>
        <v/>
      </c>
      <c r="O14">
        <v>11</v>
      </c>
      <c r="P14" s="14">
        <f>IFERROR(_xlfn.AGGREGATE(15,6,SortKeyView/InScope,$O14),"")</f>
        <v>46304.000160000003</v>
      </c>
      <c r="Q14">
        <f t="shared" si="2"/>
        <v>16</v>
      </c>
    </row>
    <row r="15" spans="1:17" x14ac:dyDescent="0.25">
      <c r="A15" t="str">
        <f>IFERROR(INDEX(Tasks[Owner],MATCH(_xlfn.AGGREGATE(15,6,OwnerRank/(COUNTIF(A$4:A14,Tasks[Owner])=0)/(Tasks[Owner]&lt;&gt;""),1),OwnerRank,0)),"")</f>
        <v/>
      </c>
      <c r="O15">
        <v>12</v>
      </c>
      <c r="P15" s="14">
        <f>IFERROR(_xlfn.AGGREGATE(15,6,SortKeyView/InScope,$O15),"")</f>
        <v>46306.000169999999</v>
      </c>
      <c r="Q15">
        <f t="shared" si="2"/>
        <v>17</v>
      </c>
    </row>
    <row r="16" spans="1:17" x14ac:dyDescent="0.25">
      <c r="A16" t="str">
        <f>IFERROR(INDEX(Tasks[Owner],MATCH(_xlfn.AGGREGATE(15,6,OwnerRank/(COUNTIF(A$4:A15,Tasks[Owner])=0)/(Tasks[Owner]&lt;&gt;""),1),OwnerRank,0)),"")</f>
        <v/>
      </c>
      <c r="O16">
        <v>13</v>
      </c>
      <c r="P16" s="14">
        <f>IFERROR(_xlfn.AGGREGATE(15,6,SortKeyView/InScope,$O16),"")</f>
        <v>46307.000180000003</v>
      </c>
      <c r="Q16">
        <f t="shared" si="2"/>
        <v>18</v>
      </c>
    </row>
    <row r="17" spans="1:17" x14ac:dyDescent="0.25">
      <c r="A17" t="str">
        <f>IFERROR(INDEX(Tasks[Owner],MATCH(_xlfn.AGGREGATE(15,6,OwnerRank/(COUNTIF(A$4:A16,Tasks[Owner])=0)/(Tasks[Owner]&lt;&gt;""),1),OwnerRank,0)),"")</f>
        <v/>
      </c>
      <c r="O17">
        <v>14</v>
      </c>
      <c r="P17" s="14">
        <f>IFERROR(_xlfn.AGGREGATE(15,6,SortKeyView/InScope,$O17),"")</f>
        <v>46308.000200000002</v>
      </c>
      <c r="Q17">
        <f t="shared" si="2"/>
        <v>20</v>
      </c>
    </row>
    <row r="18" spans="1:17" x14ac:dyDescent="0.25">
      <c r="A18" t="str">
        <f>IFERROR(INDEX(Tasks[Owner],MATCH(_xlfn.AGGREGATE(15,6,OwnerRank/(COUNTIF(A$4:A17,Tasks[Owner])=0)/(Tasks[Owner]&lt;&gt;""),1),OwnerRank,0)),"")</f>
        <v/>
      </c>
      <c r="O18">
        <v>15</v>
      </c>
      <c r="P18" s="14">
        <f>IFERROR(_xlfn.AGGREGATE(15,6,SortKeyView/InScope,$O18),"")</f>
        <v>46309.000209999998</v>
      </c>
      <c r="Q18">
        <f t="shared" si="2"/>
        <v>21</v>
      </c>
    </row>
    <row r="19" spans="1:17" x14ac:dyDescent="0.25">
      <c r="A19" t="str">
        <f>IFERROR(INDEX(Tasks[Owner],MATCH(_xlfn.AGGREGATE(15,6,OwnerRank/(COUNTIF(A$4:A18,Tasks[Owner])=0)/(Tasks[Owner]&lt;&gt;""),1),OwnerRank,0)),"")</f>
        <v/>
      </c>
    </row>
    <row r="20" spans="1:17" x14ac:dyDescent="0.25">
      <c r="A20" t="str">
        <f>IFERROR(INDEX(Tasks[Owner],MATCH(_xlfn.AGGREGATE(15,6,OwnerRank/(COUNTIF(A$4:A19,Tasks[Owner])=0)/(Tasks[Owner]&lt;&gt;""),1),OwnerRank,0)),"")</f>
        <v/>
      </c>
    </row>
    <row r="21" spans="1:17" x14ac:dyDescent="0.25">
      <c r="A21" t="str">
        <f>IFERROR(INDEX(Tasks[Owner],MATCH(_xlfn.AGGREGATE(15,6,OwnerRank/(COUNTIF(A$4:A20,Tasks[Owner])=0)/(Tasks[Owner]&lt;&gt;""),1),OwnerRank,0)),"")</f>
        <v/>
      </c>
    </row>
    <row r="22" spans="1:17" x14ac:dyDescent="0.25">
      <c r="A22" t="str">
        <f>IFERROR(INDEX(Tasks[Owner],MATCH(_xlfn.AGGREGATE(15,6,OwnerRank/(COUNTIF(A$4:A21,Tasks[Owner])=0)/(Tasks[Owner]&lt;&gt;""),1),OwnerRank,0)),"")</f>
        <v/>
      </c>
    </row>
    <row r="23" spans="1:17" x14ac:dyDescent="0.25">
      <c r="A23" t="str">
        <f>IFERROR(INDEX(Tasks[Owner],MATCH(_xlfn.AGGREGATE(15,6,OwnerRank/(COUNTIF(A$4:A22,Tasks[Owner])=0)/(Tasks[Owner]&lt;&gt;""),1),OwnerRank,0)),"")</f>
        <v/>
      </c>
    </row>
    <row r="24" spans="1:17" x14ac:dyDescent="0.25">
      <c r="A24" t="str">
        <f>IFERROR(INDEX(Tasks[Owner],MATCH(_xlfn.AGGREGATE(15,6,OwnerRank/(COUNTIF(A$4:A23,Tasks[Owner])=0)/(Tasks[Owner]&lt;&gt;""),1),OwnerRank,0)),"")</f>
        <v/>
      </c>
    </row>
    <row r="25" spans="1:17" x14ac:dyDescent="0.25">
      <c r="A25" t="str">
        <f>IFERROR(INDEX(Tasks[Owner],MATCH(_xlfn.AGGREGATE(15,6,OwnerRank/(COUNTIF(A$4:A24,Tasks[Owner])=0)/(Tasks[Owner]&lt;&gt;""),1),OwnerRank,0)),"")</f>
        <v/>
      </c>
    </row>
    <row r="26" spans="1:17" x14ac:dyDescent="0.25">
      <c r="A26" t="str">
        <f>IFERROR(INDEX(Tasks[Owner],MATCH(_xlfn.AGGREGATE(15,6,OwnerRank/(COUNTIF(A$4:A25,Tasks[Owner])=0)/(Tasks[Owner]&lt;&gt;""),1),OwnerRank,0)),"")</f>
        <v/>
      </c>
    </row>
    <row r="27" spans="1:17" x14ac:dyDescent="0.25">
      <c r="A27" t="str">
        <f>IFERROR(INDEX(Tasks[Owner],MATCH(_xlfn.AGGREGATE(15,6,OwnerRank/(COUNTIF(A$4:A26,Tasks[Owner])=0)/(Tasks[Owner]&lt;&gt;""),1),OwnerRank,0)),"")</f>
        <v/>
      </c>
    </row>
    <row r="28" spans="1:17" x14ac:dyDescent="0.25">
      <c r="A28" t="str">
        <f>IFERROR(INDEX(Tasks[Owner],MATCH(_xlfn.AGGREGATE(15,6,OwnerRank/(COUNTIF(A$4:A27,Tasks[Owner])=0)/(Tasks[Owner]&lt;&gt;""),1),OwnerRank,0)),"")</f>
        <v/>
      </c>
    </row>
    <row r="29" spans="1:17" x14ac:dyDescent="0.25">
      <c r="A29" t="str">
        <f>IFERROR(INDEX(Tasks[Owner],MATCH(_xlfn.AGGREGATE(15,6,OwnerRank/(COUNTIF(A$4:A28,Tasks[Owner])=0)/(Tasks[Owner]&lt;&gt;""),1),OwnerRank,0)),"")</f>
        <v/>
      </c>
    </row>
    <row r="30" spans="1:17" x14ac:dyDescent="0.25">
      <c r="A30" t="str">
        <f>IFERROR(INDEX(Tasks[Owner],MATCH(_xlfn.AGGREGATE(15,6,OwnerRank/(COUNTIF(A$4:A29,Tasks[Owner])=0)/(Tasks[Owner]&lt;&gt;""),1),OwnerRank,0)),"")</f>
        <v/>
      </c>
    </row>
    <row r="31" spans="1:17" x14ac:dyDescent="0.25">
      <c r="A31" t="str">
        <f>IFERROR(INDEX(Tasks[Owner],MATCH(_xlfn.AGGREGATE(15,6,OwnerRank/(COUNTIF(A$4:A30,Tasks[Owner])=0)/(Tasks[Owner]&lt;&gt;""),1),OwnerRank,0)),"")</f>
        <v/>
      </c>
    </row>
    <row r="32" spans="1:17" x14ac:dyDescent="0.25">
      <c r="A32" t="str">
        <f>IFERROR(INDEX(Tasks[Owner],MATCH(_xlfn.AGGREGATE(15,6,OwnerRank/(COUNTIF(A$4:A31,Tasks[Owner])=0)/(Tasks[Owner]&lt;&gt;""),1),OwnerRank,0)),"")</f>
        <v/>
      </c>
    </row>
    <row r="33" spans="1:1" x14ac:dyDescent="0.25">
      <c r="A33" t="str">
        <f>IFERROR(INDEX(Tasks[Owner],MATCH(_xlfn.AGGREGATE(15,6,OwnerRank/(COUNTIF(A$4:A32,Tasks[Owner])=0)/(Tasks[Owner]&lt;&gt;""),1),OwnerRank,0)),"")</f>
        <v/>
      </c>
    </row>
    <row r="34" spans="1:1" x14ac:dyDescent="0.25">
      <c r="A34" t="str">
        <f>IFERROR(INDEX(Tasks[Owner],MATCH(_xlfn.AGGREGATE(15,6,OwnerRank/(COUNTIF(A$4:A33,Tasks[Owner])=0)/(Tasks[Owner]&lt;&gt;""),1),OwnerRank,0)),"")</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16</vt:i4>
      </vt:variant>
    </vt:vector>
  </HeadingPairs>
  <TitlesOfParts>
    <vt:vector size="20" baseType="lpstr">
      <vt:lpstr>Dashboard</vt:lpstr>
      <vt:lpstr>Tasks</vt:lpstr>
      <vt:lpstr>How to use</vt:lpstr>
      <vt:lpstr>Lists</vt:lpstr>
      <vt:lpstr>KpiDone</vt:lpstr>
      <vt:lpstr>KpiDueThisWeek</vt:lpstr>
      <vt:lpstr>KpiInProgress</vt:lpstr>
      <vt:lpstr>KpiOverdue</vt:lpstr>
      <vt:lpstr>KpiTotal</vt:lpstr>
      <vt:lpstr>Dashboard!Print_Area</vt:lpstr>
      <vt:lpstr>SelOwner</vt:lpstr>
      <vt:lpstr>SelStatus</vt:lpstr>
      <vt:lpstr>SelYear</vt:lpstr>
      <vt:lpstr>StatusList</vt:lpstr>
      <vt:lpstr>T_Due</vt:lpstr>
      <vt:lpstr>T_ID</vt:lpstr>
      <vt:lpstr>T_Owner</vt:lpstr>
      <vt:lpstr>T_Status</vt:lpstr>
      <vt:lpstr>T_Task</vt:lpstr>
      <vt:lpstr>T_Year</vt:lpstr>
    </vt:vector>
  </TitlesOfParts>
  <Company>AZG Engineering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Work Tracker Demo</dc:title>
  <dc:subject>Demo built with made-up sample data</dc:subject>
  <dc:creator>AZG Engineering</dc:creator>
  <cp:lastModifiedBy>AZG Engineering</cp:lastModifiedBy>
  <dcterms:created xsi:type="dcterms:W3CDTF">2026-10-06T18:13:30Z</dcterms:created>
  <dcterms:modified xsi:type="dcterms:W3CDTF">2026-10-06T18:13:57Z</dcterms:modified>
</cp:coreProperties>
</file>